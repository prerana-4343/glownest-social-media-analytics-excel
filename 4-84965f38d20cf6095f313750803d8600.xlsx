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242dac3c11bcff6/Desktop/WV/Supplementary Material/Module 9_End to End Case Study Projects/Solving/Project 2 - Social Media Analytics/"/>
    </mc:Choice>
  </mc:AlternateContent>
  <xr:revisionPtr revIDLastSave="255" documentId="11_1618B5BFECD4A027499C2B14A5F0A48DA519CB8D" xr6:coauthVersionLast="47" xr6:coauthVersionMax="47" xr10:uidLastSave="{4B70D520-804A-4C42-99E8-D4E6E4D0D342}"/>
  <bookViews>
    <workbookView xWindow="-108" yWindow="-108" windowWidth="23256" windowHeight="12456" activeTab="3" xr2:uid="{00000000-000D-0000-FFFF-FFFF00000000}"/>
  </bookViews>
  <sheets>
    <sheet name="Original Cleaned Data" sheetId="5" r:id="rId1"/>
    <sheet name="Working Sheet" sheetId="1" r:id="rId2"/>
    <sheet name="Metrics" sheetId="4" r:id="rId3"/>
    <sheet name="Sheet 2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1" i="5" l="1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</calcChain>
</file>

<file path=xl/sharedStrings.xml><?xml version="1.0" encoding="utf-8"?>
<sst xmlns="http://schemas.openxmlformats.org/spreadsheetml/2006/main" count="7306" uniqueCount="668">
  <si>
    <t>Post ID</t>
  </si>
  <si>
    <t>Date</t>
  </si>
  <si>
    <t>Platform</t>
  </si>
  <si>
    <t>Content Type</t>
  </si>
  <si>
    <t>Content Theme</t>
  </si>
  <si>
    <t>Campaign</t>
  </si>
  <si>
    <t>Paid / Organic</t>
  </si>
  <si>
    <t>Followers at Posting</t>
  </si>
  <si>
    <t>Impressions</t>
  </si>
  <si>
    <t>Reach</t>
  </si>
  <si>
    <t>Likes</t>
  </si>
  <si>
    <t>Comments</t>
  </si>
  <si>
    <t>Shares</t>
  </si>
  <si>
    <t>Saves</t>
  </si>
  <si>
    <t>Link Clicks</t>
  </si>
  <si>
    <t>Video Views</t>
  </si>
  <si>
    <t>Engagements</t>
  </si>
  <si>
    <t>Engagement Rate %</t>
  </si>
  <si>
    <t>GN20250001</t>
  </si>
  <si>
    <t>Instagram</t>
  </si>
  <si>
    <t>Short Video</t>
  </si>
  <si>
    <t>Customer Story</t>
  </si>
  <si>
    <t>Community Week</t>
  </si>
  <si>
    <t>Organic</t>
  </si>
  <si>
    <t>GN20250002</t>
  </si>
  <si>
    <t>Product Promotion</t>
  </si>
  <si>
    <t>GN20250003</t>
  </si>
  <si>
    <t>Educational / How-To</t>
  </si>
  <si>
    <t>Always On</t>
  </si>
  <si>
    <t>GN20250004</t>
  </si>
  <si>
    <t>Static Image</t>
  </si>
  <si>
    <t>New Launch</t>
  </si>
  <si>
    <t>GN20250005</t>
  </si>
  <si>
    <t>LinkedIn</t>
  </si>
  <si>
    <t>Text/Article</t>
  </si>
  <si>
    <t>GN20250006</t>
  </si>
  <si>
    <t>Facebook</t>
  </si>
  <si>
    <t>Carousel</t>
  </si>
  <si>
    <t>Paid</t>
  </si>
  <si>
    <t>GN20250007</t>
  </si>
  <si>
    <t>GN20250008</t>
  </si>
  <si>
    <t>GN20250009</t>
  </si>
  <si>
    <t>Festive Campaign</t>
  </si>
  <si>
    <t>GN20250010</t>
  </si>
  <si>
    <t>Summer Campaign</t>
  </si>
  <si>
    <t>GN20250011</t>
  </si>
  <si>
    <t>Thought Leadership</t>
  </si>
  <si>
    <t>GN20250012</t>
  </si>
  <si>
    <t>GN20250013</t>
  </si>
  <si>
    <t>Behind the Scenes</t>
  </si>
  <si>
    <t>GN20250014</t>
  </si>
  <si>
    <t>GN20250015</t>
  </si>
  <si>
    <t>GN20250016</t>
  </si>
  <si>
    <t>GN20250017</t>
  </si>
  <si>
    <t>GN20250018</t>
  </si>
  <si>
    <t>GN20250019</t>
  </si>
  <si>
    <t>GN20250020</t>
  </si>
  <si>
    <t>GN20250021</t>
  </si>
  <si>
    <t>GN20250022</t>
  </si>
  <si>
    <t>GN20250023</t>
  </si>
  <si>
    <t>GN20250024</t>
  </si>
  <si>
    <t>GN20250025</t>
  </si>
  <si>
    <t>GN20250026</t>
  </si>
  <si>
    <t>GN20250027</t>
  </si>
  <si>
    <t>GN20250028</t>
  </si>
  <si>
    <t>GN20250029</t>
  </si>
  <si>
    <t>GN20250030</t>
  </si>
  <si>
    <t>static image</t>
  </si>
  <si>
    <t>GN20250031</t>
  </si>
  <si>
    <t>GN20250032</t>
  </si>
  <si>
    <t>GN20250033</t>
  </si>
  <si>
    <t>GN20250034</t>
  </si>
  <si>
    <t>GN20250035</t>
  </si>
  <si>
    <t>GN20250036</t>
  </si>
  <si>
    <t>GN20250037</t>
  </si>
  <si>
    <t>GN20250038</t>
  </si>
  <si>
    <t>GN20250039</t>
  </si>
  <si>
    <t>GN20250040</t>
  </si>
  <si>
    <t>GN20250041</t>
  </si>
  <si>
    <t>GN20250042</t>
  </si>
  <si>
    <t>GN20250043</t>
  </si>
  <si>
    <t>GN20250044</t>
  </si>
  <si>
    <t>GN20250045</t>
  </si>
  <si>
    <t>GN20250046</t>
  </si>
  <si>
    <t>GN20250047</t>
  </si>
  <si>
    <t>GN20250048</t>
  </si>
  <si>
    <t>GN20250049</t>
  </si>
  <si>
    <t>GN20250050</t>
  </si>
  <si>
    <t>GN20250051</t>
  </si>
  <si>
    <t>GN20250052</t>
  </si>
  <si>
    <t>GN20250053</t>
  </si>
  <si>
    <t>GN20250054</t>
  </si>
  <si>
    <t>GN20250055</t>
  </si>
  <si>
    <t>GN20250056</t>
  </si>
  <si>
    <t>GN20250057</t>
  </si>
  <si>
    <t>GN20250058</t>
  </si>
  <si>
    <t>GN20250059</t>
  </si>
  <si>
    <t>GN20250060</t>
  </si>
  <si>
    <t>GN20250061</t>
  </si>
  <si>
    <t>GN20250062</t>
  </si>
  <si>
    <t>GN20250063</t>
  </si>
  <si>
    <t>GN20250064</t>
  </si>
  <si>
    <t>GN20250065</t>
  </si>
  <si>
    <t>GN20250066</t>
  </si>
  <si>
    <t>GN20250067</t>
  </si>
  <si>
    <t>GN20250068</t>
  </si>
  <si>
    <t>GN20250069</t>
  </si>
  <si>
    <t>GN20250070</t>
  </si>
  <si>
    <t>GN20250071</t>
  </si>
  <si>
    <t>GN20250072</t>
  </si>
  <si>
    <t>GN20250073</t>
  </si>
  <si>
    <t>GN20250074</t>
  </si>
  <si>
    <t>GN20250075</t>
  </si>
  <si>
    <t>GN20250076</t>
  </si>
  <si>
    <t>GN20250077</t>
  </si>
  <si>
    <t>GN20250078</t>
  </si>
  <si>
    <t>GN20250079</t>
  </si>
  <si>
    <t>GN20250080</t>
  </si>
  <si>
    <t>GN20250081</t>
  </si>
  <si>
    <t>GN20250082</t>
  </si>
  <si>
    <t>GN20250083</t>
  </si>
  <si>
    <t>GN20250084</t>
  </si>
  <si>
    <t>GN20250085</t>
  </si>
  <si>
    <t>GN20250086</t>
  </si>
  <si>
    <t>GN20250087</t>
  </si>
  <si>
    <t>GN20250088</t>
  </si>
  <si>
    <t>GN20250089</t>
  </si>
  <si>
    <t>GN20250090</t>
  </si>
  <si>
    <t>GN20250091</t>
  </si>
  <si>
    <t>GN20250092</t>
  </si>
  <si>
    <t>GN20250093</t>
  </si>
  <si>
    <t>GN20250094</t>
  </si>
  <si>
    <t>GN20250095</t>
  </si>
  <si>
    <t>GN20250096</t>
  </si>
  <si>
    <t>GN20250097</t>
  </si>
  <si>
    <t>GN20250098</t>
  </si>
  <si>
    <t>GN20250099</t>
  </si>
  <si>
    <t>GN20250100</t>
  </si>
  <si>
    <t>GN20250101</t>
  </si>
  <si>
    <t>GN20250102</t>
  </si>
  <si>
    <t>GN20250103</t>
  </si>
  <si>
    <t>GN20250104</t>
  </si>
  <si>
    <t>GN20250105</t>
  </si>
  <si>
    <t>GN20250106</t>
  </si>
  <si>
    <t>GN20250107</t>
  </si>
  <si>
    <t>GN20250108</t>
  </si>
  <si>
    <t>GN20250109</t>
  </si>
  <si>
    <t>GN20250110</t>
  </si>
  <si>
    <t>GN20250111</t>
  </si>
  <si>
    <t>GN20250112</t>
  </si>
  <si>
    <t>GN20250113</t>
  </si>
  <si>
    <t>GN20250114</t>
  </si>
  <si>
    <t>GN20250115</t>
  </si>
  <si>
    <t>GN20250116</t>
  </si>
  <si>
    <t>GN20250117</t>
  </si>
  <si>
    <t>GN20250118</t>
  </si>
  <si>
    <t>GN20250119</t>
  </si>
  <si>
    <t>GN20250120</t>
  </si>
  <si>
    <t>GN20250121</t>
  </si>
  <si>
    <t>GN20250122</t>
  </si>
  <si>
    <t>GN20250123</t>
  </si>
  <si>
    <t>GN20250124</t>
  </si>
  <si>
    <t>GN20250125</t>
  </si>
  <si>
    <t>GN20250126</t>
  </si>
  <si>
    <t>GN20250127</t>
  </si>
  <si>
    <t>GN20250128</t>
  </si>
  <si>
    <t>GN20250129</t>
  </si>
  <si>
    <t>GN20250130</t>
  </si>
  <si>
    <t>GN20250131</t>
  </si>
  <si>
    <t>GN20250132</t>
  </si>
  <si>
    <t>GN20250133</t>
  </si>
  <si>
    <t>GN20250134</t>
  </si>
  <si>
    <t>GN20250135</t>
  </si>
  <si>
    <t>GN20250136</t>
  </si>
  <si>
    <t>GN20250137</t>
  </si>
  <si>
    <t>GN20250138</t>
  </si>
  <si>
    <t>GN20250139</t>
  </si>
  <si>
    <t>GN20250140</t>
  </si>
  <si>
    <t>GN20250141</t>
  </si>
  <si>
    <t>GN20250142</t>
  </si>
  <si>
    <t>GN20250143</t>
  </si>
  <si>
    <t>GN20250144</t>
  </si>
  <si>
    <t>GN20250145</t>
  </si>
  <si>
    <t>GN20250146</t>
  </si>
  <si>
    <t>GN20250147</t>
  </si>
  <si>
    <t>GN20250148</t>
  </si>
  <si>
    <t>GN20250149</t>
  </si>
  <si>
    <t>GN20250150</t>
  </si>
  <si>
    <t>GN20250151</t>
  </si>
  <si>
    <t>GN20250152</t>
  </si>
  <si>
    <t>GN20250153</t>
  </si>
  <si>
    <t>GN20250154</t>
  </si>
  <si>
    <t>GN20250155</t>
  </si>
  <si>
    <t>instagram</t>
  </si>
  <si>
    <t>GN20250156</t>
  </si>
  <si>
    <t>GN20250157</t>
  </si>
  <si>
    <t>GN20250158</t>
  </si>
  <si>
    <t>GN20250159</t>
  </si>
  <si>
    <t>GN20250160</t>
  </si>
  <si>
    <t>GN20250161</t>
  </si>
  <si>
    <t>GN20250162</t>
  </si>
  <si>
    <t>GN20250163</t>
  </si>
  <si>
    <t>GN20250164</t>
  </si>
  <si>
    <t>GN20250165</t>
  </si>
  <si>
    <t>GN20250166</t>
  </si>
  <si>
    <t>GN20250167</t>
  </si>
  <si>
    <t>GN20250168</t>
  </si>
  <si>
    <t>GN20250169</t>
  </si>
  <si>
    <t>GN20250170</t>
  </si>
  <si>
    <t>GN20250171</t>
  </si>
  <si>
    <t>GN20250172</t>
  </si>
  <si>
    <t>GN20250173</t>
  </si>
  <si>
    <t>GN20250175</t>
  </si>
  <si>
    <t>GN20250176</t>
  </si>
  <si>
    <t>GN20250177</t>
  </si>
  <si>
    <t>GN20250178</t>
  </si>
  <si>
    <t>GN20250179</t>
  </si>
  <si>
    <t>GN20250180</t>
  </si>
  <si>
    <t>GN20250181</t>
  </si>
  <si>
    <t>GN20250182</t>
  </si>
  <si>
    <t>GN20250183</t>
  </si>
  <si>
    <t>GN20250184</t>
  </si>
  <si>
    <t>GN20250185</t>
  </si>
  <si>
    <t>GN20250186</t>
  </si>
  <si>
    <t>GN20250187</t>
  </si>
  <si>
    <t>GN20250188</t>
  </si>
  <si>
    <t>GN20250189</t>
  </si>
  <si>
    <t>GN20250190</t>
  </si>
  <si>
    <t>GN20250191</t>
  </si>
  <si>
    <t>GN20250192</t>
  </si>
  <si>
    <t>GN20250193</t>
  </si>
  <si>
    <t>GN20250194</t>
  </si>
  <si>
    <t>GN20250195</t>
  </si>
  <si>
    <t>GN20250196</t>
  </si>
  <si>
    <t>GN20250197</t>
  </si>
  <si>
    <t>organic</t>
  </si>
  <si>
    <t>GN20250198</t>
  </si>
  <si>
    <t>GN20250199</t>
  </si>
  <si>
    <t>GN20250200</t>
  </si>
  <si>
    <t>GN20250201</t>
  </si>
  <si>
    <t>GN20250202</t>
  </si>
  <si>
    <t>GN20250203</t>
  </si>
  <si>
    <t>GN20250204</t>
  </si>
  <si>
    <t>GN20250205</t>
  </si>
  <si>
    <t>GN20250206</t>
  </si>
  <si>
    <t>GN20250207</t>
  </si>
  <si>
    <t>GN20250208</t>
  </si>
  <si>
    <t>GN20250209</t>
  </si>
  <si>
    <t>GN20250210</t>
  </si>
  <si>
    <t>GN20250211</t>
  </si>
  <si>
    <t>GN20250212</t>
  </si>
  <si>
    <t>GN20250213</t>
  </si>
  <si>
    <t>GN20250214</t>
  </si>
  <si>
    <t>GN20250215</t>
  </si>
  <si>
    <t>GN20250216</t>
  </si>
  <si>
    <t>GN20250217</t>
  </si>
  <si>
    <t>GN20250218</t>
  </si>
  <si>
    <t>GN20250219</t>
  </si>
  <si>
    <t>GN20250220</t>
  </si>
  <si>
    <t>GN20250221</t>
  </si>
  <si>
    <t>GN20250222</t>
  </si>
  <si>
    <t>GN20250223</t>
  </si>
  <si>
    <t>GN20250224</t>
  </si>
  <si>
    <t>GN20250225</t>
  </si>
  <si>
    <t>GN20250226</t>
  </si>
  <si>
    <t>GN20250227</t>
  </si>
  <si>
    <t>GN20250228</t>
  </si>
  <si>
    <t>GN20250229</t>
  </si>
  <si>
    <t>GN20250230</t>
  </si>
  <si>
    <t>GN20250231</t>
  </si>
  <si>
    <t>GN20250232</t>
  </si>
  <si>
    <t>GN20250233</t>
  </si>
  <si>
    <t>GN20250234</t>
  </si>
  <si>
    <t>GN20250235</t>
  </si>
  <si>
    <t>GN20250236</t>
  </si>
  <si>
    <t>GN20250237</t>
  </si>
  <si>
    <t>GN20250238</t>
  </si>
  <si>
    <t>GN20250239</t>
  </si>
  <si>
    <t>GN20250240</t>
  </si>
  <si>
    <t>GN20250241</t>
  </si>
  <si>
    <t>GN20250242</t>
  </si>
  <si>
    <t>GN20250243</t>
  </si>
  <si>
    <t>GN20250244</t>
  </si>
  <si>
    <t>GN20250245</t>
  </si>
  <si>
    <t>GN20250246</t>
  </si>
  <si>
    <t>GN20250247</t>
  </si>
  <si>
    <t>GN20250248</t>
  </si>
  <si>
    <t>GN20250249</t>
  </si>
  <si>
    <t>GN20250250</t>
  </si>
  <si>
    <t>GN20250251</t>
  </si>
  <si>
    <t>GN20250252</t>
  </si>
  <si>
    <t>GN20250253</t>
  </si>
  <si>
    <t>GN20250254</t>
  </si>
  <si>
    <t>GN20250255</t>
  </si>
  <si>
    <t>GN20250256</t>
  </si>
  <si>
    <t>GN20250257</t>
  </si>
  <si>
    <t>GN20250258</t>
  </si>
  <si>
    <t>GN20250259</t>
  </si>
  <si>
    <t>GN20250260</t>
  </si>
  <si>
    <t>GN20250261</t>
  </si>
  <si>
    <t>GN20250262</t>
  </si>
  <si>
    <t>GN20250263</t>
  </si>
  <si>
    <t>GN20250264</t>
  </si>
  <si>
    <t>GN20250265</t>
  </si>
  <si>
    <t>GN20250266</t>
  </si>
  <si>
    <t>GN20250267</t>
  </si>
  <si>
    <t>GN20250268</t>
  </si>
  <si>
    <t>GN20250269</t>
  </si>
  <si>
    <t>GN20250270</t>
  </si>
  <si>
    <t>GN20250271</t>
  </si>
  <si>
    <t>GN20250272</t>
  </si>
  <si>
    <t>GN20250273</t>
  </si>
  <si>
    <t>GN20250274</t>
  </si>
  <si>
    <t>GN20250275</t>
  </si>
  <si>
    <t>GN20250276</t>
  </si>
  <si>
    <t>GN20250277</t>
  </si>
  <si>
    <t>GN20250278</t>
  </si>
  <si>
    <t>GN20250279</t>
  </si>
  <si>
    <t>GN20250280</t>
  </si>
  <si>
    <t>GN20250281</t>
  </si>
  <si>
    <t>GN20250282</t>
  </si>
  <si>
    <t>GN20250283</t>
  </si>
  <si>
    <t>GN20250284</t>
  </si>
  <si>
    <t>GN20250285</t>
  </si>
  <si>
    <t>GN20250286</t>
  </si>
  <si>
    <t>GN20250287</t>
  </si>
  <si>
    <t>GN20250288</t>
  </si>
  <si>
    <t>GN20250289</t>
  </si>
  <si>
    <t>GN20250290</t>
  </si>
  <si>
    <t>GN20250291</t>
  </si>
  <si>
    <t>GN20250292</t>
  </si>
  <si>
    <t>GN20250293</t>
  </si>
  <si>
    <t>GN20250294</t>
  </si>
  <si>
    <t>GN20250295</t>
  </si>
  <si>
    <t>GN20250296</t>
  </si>
  <si>
    <t>GN20250297</t>
  </si>
  <si>
    <t>GN20250298</t>
  </si>
  <si>
    <t>GN20250299</t>
  </si>
  <si>
    <t>GN20250300</t>
  </si>
  <si>
    <t>GN20250301</t>
  </si>
  <si>
    <t>GN20250302</t>
  </si>
  <si>
    <t>GN20250303</t>
  </si>
  <si>
    <t>GN20250304</t>
  </si>
  <si>
    <t>GN20250305</t>
  </si>
  <si>
    <t>GN20250306</t>
  </si>
  <si>
    <t>GN20250307</t>
  </si>
  <si>
    <t>GN20250308</t>
  </si>
  <si>
    <t>GN20250309</t>
  </si>
  <si>
    <t>GN20250310</t>
  </si>
  <si>
    <t>GN20250311</t>
  </si>
  <si>
    <t>GN20250312</t>
  </si>
  <si>
    <t>GN20250313</t>
  </si>
  <si>
    <t>GN20250314</t>
  </si>
  <si>
    <t>GN20250315</t>
  </si>
  <si>
    <t>GN20250316</t>
  </si>
  <si>
    <t>GN20250317</t>
  </si>
  <si>
    <t>GN20250318</t>
  </si>
  <si>
    <t>GN20250319</t>
  </si>
  <si>
    <t>GN20250320</t>
  </si>
  <si>
    <t>GN20250321</t>
  </si>
  <si>
    <t>GN20250322</t>
  </si>
  <si>
    <t>GN20250323</t>
  </si>
  <si>
    <t>GN20250324</t>
  </si>
  <si>
    <t>GN20250325</t>
  </si>
  <si>
    <t>GN20250326</t>
  </si>
  <si>
    <t>GN20250327</t>
  </si>
  <si>
    <t>GN20250328</t>
  </si>
  <si>
    <t>GN20250329</t>
  </si>
  <si>
    <t>GN20250330</t>
  </si>
  <si>
    <t>GN20250331</t>
  </si>
  <si>
    <t>GN20250332</t>
  </si>
  <si>
    <t>GN20250333</t>
  </si>
  <si>
    <t>GN20250334</t>
  </si>
  <si>
    <t>GN20250335</t>
  </si>
  <si>
    <t>GN20250336</t>
  </si>
  <si>
    <t>GN20250337</t>
  </si>
  <si>
    <t>GN20250338</t>
  </si>
  <si>
    <t>GN20250339</t>
  </si>
  <si>
    <t>GN20250340</t>
  </si>
  <si>
    <t>GN20250341</t>
  </si>
  <si>
    <t>GN20250342</t>
  </si>
  <si>
    <t>GN20250343</t>
  </si>
  <si>
    <t>GN20250344</t>
  </si>
  <si>
    <t>GN20250345</t>
  </si>
  <si>
    <t>GN20250346</t>
  </si>
  <si>
    <t>GN20250347</t>
  </si>
  <si>
    <t>GN20250348</t>
  </si>
  <si>
    <t>GN20250349</t>
  </si>
  <si>
    <t>GN20250350</t>
  </si>
  <si>
    <t>GN20250351</t>
  </si>
  <si>
    <t>GN20250352</t>
  </si>
  <si>
    <t>GN20250353</t>
  </si>
  <si>
    <t>GN20250354</t>
  </si>
  <si>
    <t>GN20250355</t>
  </si>
  <si>
    <t>GN20250356</t>
  </si>
  <si>
    <t>GN20250357</t>
  </si>
  <si>
    <t>GN20250358</t>
  </si>
  <si>
    <t>GN20250359</t>
  </si>
  <si>
    <t>GN20250360</t>
  </si>
  <si>
    <t>GN20250361</t>
  </si>
  <si>
    <t>GN20250362</t>
  </si>
  <si>
    <t>GN20250363</t>
  </si>
  <si>
    <t>GN20250364</t>
  </si>
  <si>
    <t>GN20250365</t>
  </si>
  <si>
    <t>GN20250366</t>
  </si>
  <si>
    <t>carousel</t>
  </si>
  <si>
    <t>GN20250367</t>
  </si>
  <si>
    <t>GN20250368</t>
  </si>
  <si>
    <t>GN20250369</t>
  </si>
  <si>
    <t>GN20250370</t>
  </si>
  <si>
    <t>GN20250371</t>
  </si>
  <si>
    <t>GN20250372</t>
  </si>
  <si>
    <t>GN20250373</t>
  </si>
  <si>
    <t>GN20250374</t>
  </si>
  <si>
    <t>GN20250375</t>
  </si>
  <si>
    <t>GN20250376</t>
  </si>
  <si>
    <t>GN20250377</t>
  </si>
  <si>
    <t>GN20250378</t>
  </si>
  <si>
    <t>GN20250379</t>
  </si>
  <si>
    <t>GN20250380</t>
  </si>
  <si>
    <t>GN20250381</t>
  </si>
  <si>
    <t>GN20250382</t>
  </si>
  <si>
    <t>GN20250383</t>
  </si>
  <si>
    <t>GN20250384</t>
  </si>
  <si>
    <t>GN20250385</t>
  </si>
  <si>
    <t>GN20250386</t>
  </si>
  <si>
    <t>GN20250387</t>
  </si>
  <si>
    <t>GN20250388</t>
  </si>
  <si>
    <t>GN20250389</t>
  </si>
  <si>
    <t>GN20250390</t>
  </si>
  <si>
    <t>GN20250391</t>
  </si>
  <si>
    <t>GN20250392</t>
  </si>
  <si>
    <t>GN20250393</t>
  </si>
  <si>
    <t>GN20250394</t>
  </si>
  <si>
    <t>GN20250395</t>
  </si>
  <si>
    <t>GN20250396</t>
  </si>
  <si>
    <t>GN20250397</t>
  </si>
  <si>
    <t>GN20250398</t>
  </si>
  <si>
    <t>GN20250399</t>
  </si>
  <si>
    <t>GN20250400</t>
  </si>
  <si>
    <t>GN20250401</t>
  </si>
  <si>
    <t>GN20250402</t>
  </si>
  <si>
    <t>GN20250403</t>
  </si>
  <si>
    <t>GN20250404</t>
  </si>
  <si>
    <t>GN20250405</t>
  </si>
  <si>
    <t>GN20250406</t>
  </si>
  <si>
    <t>GN20250407</t>
  </si>
  <si>
    <t>GN20250408</t>
  </si>
  <si>
    <t>GN20250409</t>
  </si>
  <si>
    <t>GN20250410</t>
  </si>
  <si>
    <t>GN20250411</t>
  </si>
  <si>
    <t>GN20250412</t>
  </si>
  <si>
    <t>GN20250413</t>
  </si>
  <si>
    <t>GN20250414</t>
  </si>
  <si>
    <t>GN20250415</t>
  </si>
  <si>
    <t>GN20250416</t>
  </si>
  <si>
    <t>GN20250417</t>
  </si>
  <si>
    <t>GN20250418</t>
  </si>
  <si>
    <t>GN20250419</t>
  </si>
  <si>
    <t>GN20250420</t>
  </si>
  <si>
    <t>GN20250421</t>
  </si>
  <si>
    <t>GN20250423</t>
  </si>
  <si>
    <t>GN20250424</t>
  </si>
  <si>
    <t>GN20250425</t>
  </si>
  <si>
    <t>GN20250426</t>
  </si>
  <si>
    <t>GN20250427</t>
  </si>
  <si>
    <t>GN20250428</t>
  </si>
  <si>
    <t>GN20250429</t>
  </si>
  <si>
    <t>GN20250430</t>
  </si>
  <si>
    <t>GN20250431</t>
  </si>
  <si>
    <t>GN20250432</t>
  </si>
  <si>
    <t>GN20250433</t>
  </si>
  <si>
    <t>GN20250434</t>
  </si>
  <si>
    <t>GN20250435</t>
  </si>
  <si>
    <t>GN20250436</t>
  </si>
  <si>
    <t>GN20250437</t>
  </si>
  <si>
    <t>GN20250438</t>
  </si>
  <si>
    <t>GN20250439</t>
  </si>
  <si>
    <t>GN20250440</t>
  </si>
  <si>
    <t>GN20250441</t>
  </si>
  <si>
    <t>GN20250442</t>
  </si>
  <si>
    <t>GN20250443</t>
  </si>
  <si>
    <t>GN20250444</t>
  </si>
  <si>
    <t>GN20250445</t>
  </si>
  <si>
    <t>GN20250446</t>
  </si>
  <si>
    <t>GN20250447</t>
  </si>
  <si>
    <t>GN20250448</t>
  </si>
  <si>
    <t>GN20250449</t>
  </si>
  <si>
    <t>GN20250450</t>
  </si>
  <si>
    <t>GN20250451</t>
  </si>
  <si>
    <t>GN20250452</t>
  </si>
  <si>
    <t>GN20250453</t>
  </si>
  <si>
    <t>GN20250454</t>
  </si>
  <si>
    <t>GN20250455</t>
  </si>
  <si>
    <t>GN20250456</t>
  </si>
  <si>
    <t>GN20250457</t>
  </si>
  <si>
    <t>GN20250458</t>
  </si>
  <si>
    <t>GN20250459</t>
  </si>
  <si>
    <t>GN20250460</t>
  </si>
  <si>
    <t>GN20250461</t>
  </si>
  <si>
    <t>GN20250462</t>
  </si>
  <si>
    <t>GN20250463</t>
  </si>
  <si>
    <t>GN20250464</t>
  </si>
  <si>
    <t>GN20250465</t>
  </si>
  <si>
    <t>GN20250466</t>
  </si>
  <si>
    <t>GN20250467</t>
  </si>
  <si>
    <t>text/article</t>
  </si>
  <si>
    <t>GN20250468</t>
  </si>
  <si>
    <t>GN20250469</t>
  </si>
  <si>
    <t>GN20250470</t>
  </si>
  <si>
    <t>GN20250471</t>
  </si>
  <si>
    <t>GN20250472</t>
  </si>
  <si>
    <t>GN20250473</t>
  </si>
  <si>
    <t>FB</t>
  </si>
  <si>
    <t>GN20250474</t>
  </si>
  <si>
    <t>GN20250475</t>
  </si>
  <si>
    <t>GN20250476</t>
  </si>
  <si>
    <t>GN20250477</t>
  </si>
  <si>
    <t>GN20250478</t>
  </si>
  <si>
    <t>GN20250479</t>
  </si>
  <si>
    <t>GN20250480</t>
  </si>
  <si>
    <t>GN20250481</t>
  </si>
  <si>
    <t>GN20250482</t>
  </si>
  <si>
    <t>GN20250483</t>
  </si>
  <si>
    <t>GN20250484</t>
  </si>
  <si>
    <t>GN20250485</t>
  </si>
  <si>
    <t>GN20250486</t>
  </si>
  <si>
    <t>GN20250487</t>
  </si>
  <si>
    <t>GN20250488</t>
  </si>
  <si>
    <t>GN20250489</t>
  </si>
  <si>
    <t>GN20250490</t>
  </si>
  <si>
    <t>GN20250491</t>
  </si>
  <si>
    <t>GN20250492</t>
  </si>
  <si>
    <t>GN20250493</t>
  </si>
  <si>
    <t>GN20250494</t>
  </si>
  <si>
    <t>GN20250495</t>
  </si>
  <si>
    <t>GN20250496</t>
  </si>
  <si>
    <t>GN20250497</t>
  </si>
  <si>
    <t>GN20250498</t>
  </si>
  <si>
    <t>GN20250499</t>
  </si>
  <si>
    <t>GN20250500</t>
  </si>
  <si>
    <t>GN20250501</t>
  </si>
  <si>
    <t>GN20250502</t>
  </si>
  <si>
    <t>GN20250503</t>
  </si>
  <si>
    <t>GN20250504</t>
  </si>
  <si>
    <t>GN20250505</t>
  </si>
  <si>
    <t>GN20250506</t>
  </si>
  <si>
    <t>GN20250507</t>
  </si>
  <si>
    <t>GN20250508</t>
  </si>
  <si>
    <t>GN20250509</t>
  </si>
  <si>
    <t>GN20250510</t>
  </si>
  <si>
    <t>GN20250511</t>
  </si>
  <si>
    <t>GN20250512</t>
  </si>
  <si>
    <t>GN20250513</t>
  </si>
  <si>
    <t>GN20250514</t>
  </si>
  <si>
    <t>GN20250515</t>
  </si>
  <si>
    <t>GN20250516</t>
  </si>
  <si>
    <t>GN20250517</t>
  </si>
  <si>
    <t>GN20250518</t>
  </si>
  <si>
    <t>GN20250519</t>
  </si>
  <si>
    <t>GN20250520</t>
  </si>
  <si>
    <t>GN20250521</t>
  </si>
  <si>
    <t>GN20250522</t>
  </si>
  <si>
    <t>GN20250523</t>
  </si>
  <si>
    <t>GN20250524</t>
  </si>
  <si>
    <t>GN20250525</t>
  </si>
  <si>
    <t>GN20250526</t>
  </si>
  <si>
    <t>GN20250527</t>
  </si>
  <si>
    <t>GN20250528</t>
  </si>
  <si>
    <t>GN20250529</t>
  </si>
  <si>
    <t>GN20250530</t>
  </si>
  <si>
    <t>GN20250531</t>
  </si>
  <si>
    <t>GN20250532</t>
  </si>
  <si>
    <t>GN20250533</t>
  </si>
  <si>
    <t>GN20250534</t>
  </si>
  <si>
    <t>GN20250535</t>
  </si>
  <si>
    <t>GN20250536</t>
  </si>
  <si>
    <t>GN20250537</t>
  </si>
  <si>
    <t>GN20250538</t>
  </si>
  <si>
    <t>GN20250539</t>
  </si>
  <si>
    <t>GN20250540</t>
  </si>
  <si>
    <t>GN20250541</t>
  </si>
  <si>
    <t>GN20250542</t>
  </si>
  <si>
    <t>GN20250543</t>
  </si>
  <si>
    <t>GN20250544</t>
  </si>
  <si>
    <t>GN20250545</t>
  </si>
  <si>
    <t>GN20250546</t>
  </si>
  <si>
    <t>GN20250547</t>
  </si>
  <si>
    <t>GN20250548</t>
  </si>
  <si>
    <t>GN20250549</t>
  </si>
  <si>
    <t>GN20250550</t>
  </si>
  <si>
    <t>GN20250551</t>
  </si>
  <si>
    <t>GN20250552</t>
  </si>
  <si>
    <t>GN20250553</t>
  </si>
  <si>
    <t>GN20250554</t>
  </si>
  <si>
    <t>GN20250555</t>
  </si>
  <si>
    <t>GN20250556</t>
  </si>
  <si>
    <t>GN20250557</t>
  </si>
  <si>
    <t>GN20250558</t>
  </si>
  <si>
    <t>GN20250559</t>
  </si>
  <si>
    <t>GN20250560</t>
  </si>
  <si>
    <t>GN20250561</t>
  </si>
  <si>
    <t>GN20250562</t>
  </si>
  <si>
    <t>GN20250563</t>
  </si>
  <si>
    <t>GN20250564</t>
  </si>
  <si>
    <t>GN20250565</t>
  </si>
  <si>
    <t>GN20250566</t>
  </si>
  <si>
    <t>GN20250567</t>
  </si>
  <si>
    <t>GN20250568</t>
  </si>
  <si>
    <t>GN20250569</t>
  </si>
  <si>
    <t>GN20250570</t>
  </si>
  <si>
    <t>GN20250571</t>
  </si>
  <si>
    <t>GN20250572</t>
  </si>
  <si>
    <t>GN20250573</t>
  </si>
  <si>
    <t>GN20250574</t>
  </si>
  <si>
    <t>GN20250575</t>
  </si>
  <si>
    <t>GN20250576</t>
  </si>
  <si>
    <t>GN20250577</t>
  </si>
  <si>
    <t>GN20250578</t>
  </si>
  <si>
    <t>GN20250579</t>
  </si>
  <si>
    <t>GN20250580</t>
  </si>
  <si>
    <t>GN20250581</t>
  </si>
  <si>
    <t>GN20250582</t>
  </si>
  <si>
    <t>GN20250583</t>
  </si>
  <si>
    <t>GN20250584</t>
  </si>
  <si>
    <t>GN20250585</t>
  </si>
  <si>
    <t>GN20250586</t>
  </si>
  <si>
    <t>GN20250587</t>
  </si>
  <si>
    <t>GN20250588</t>
  </si>
  <si>
    <t>GN20250589</t>
  </si>
  <si>
    <t>GN20250590</t>
  </si>
  <si>
    <t>GN20250591</t>
  </si>
  <si>
    <t>GN20250592</t>
  </si>
  <si>
    <t>GN20250593</t>
  </si>
  <si>
    <t>GN20250594</t>
  </si>
  <si>
    <t>GN20250595</t>
  </si>
  <si>
    <t>GN20250596</t>
  </si>
  <si>
    <t>GN20250597</t>
  </si>
  <si>
    <t>GN20250598</t>
  </si>
  <si>
    <t>GN20250599</t>
  </si>
  <si>
    <t>GN20250600</t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</si>
  <si>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VISIBILITY = Reach and Impressions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</si>
  <si>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ENGAGEMENT = Engagement Rate, Likes, Comments, Shares, Saves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</si>
  <si>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ACTION = Link Clicks or Link Click Rate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</si>
  <si>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Total Reach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</si>
  <si>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Average Engagement Rate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</si>
  <si>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Link Click Rate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</si>
  <si>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Average Saves per Post where relevant</t>
    </r>
  </si>
  <si>
    <r>
      <t>·</t>
    </r>
    <r>
      <rPr>
        <sz val="7"/>
        <rFont val="Times New Roman"/>
        <family val="1"/>
      </rPr>
      <t xml:space="preserve">        </t>
    </r>
    <r>
      <rPr>
        <sz val="10.5"/>
        <rFont val="Aptos"/>
        <family val="2"/>
      </rPr>
      <t>=Link Clicks / Reach * 100</t>
    </r>
  </si>
  <si>
    <r>
      <t>1.</t>
    </r>
    <r>
      <rPr>
        <b/>
        <sz val="7"/>
        <rFont val="Times New Roman"/>
        <family val="1"/>
      </rPr>
      <t xml:space="preserve">        </t>
    </r>
    <r>
      <rPr>
        <b/>
        <sz val="10.5"/>
        <rFont val="Aptos"/>
        <family val="2"/>
      </rPr>
      <t>Three analysis levels before building Pivot Tables.</t>
    </r>
  </si>
  <si>
    <r>
      <t>2.</t>
    </r>
    <r>
      <rPr>
        <b/>
        <sz val="7"/>
        <rFont val="Times New Roman"/>
        <family val="1"/>
      </rPr>
      <t xml:space="preserve">        </t>
    </r>
    <r>
      <rPr>
        <b/>
        <sz val="10.5"/>
        <rFont val="Aptos"/>
        <family val="2"/>
      </rPr>
      <t>Decide that the main comparison metrics will be:</t>
    </r>
  </si>
  <si>
    <r>
      <t>3.</t>
    </r>
    <r>
      <rPr>
        <b/>
        <sz val="7"/>
        <rFont val="Times New Roman"/>
        <family val="1"/>
      </rPr>
      <t xml:space="preserve">        </t>
    </r>
    <r>
      <rPr>
        <b/>
        <sz val="10.5"/>
        <rFont val="Aptos"/>
        <family val="2"/>
      </rPr>
      <t>Create a helper field called Link Click Rate % if it does not already exist.</t>
    </r>
  </si>
  <si>
    <t>Link Click Rate</t>
  </si>
  <si>
    <t>Row Labels</t>
  </si>
  <si>
    <t>Grand Total</t>
  </si>
  <si>
    <t>Sum of Engagements</t>
  </si>
  <si>
    <t>Average of Engagement Rate %</t>
  </si>
  <si>
    <t>Sum of Link Clicks</t>
  </si>
  <si>
    <t>Average of Link Click Rate</t>
  </si>
  <si>
    <t>Sum of Reach</t>
  </si>
  <si>
    <t>Total Engagement</t>
  </si>
  <si>
    <t>Facebook has the highest reach</t>
  </si>
  <si>
    <t>Instagram has the highest total engagement and highest 
engagement rate</t>
  </si>
  <si>
    <t>Short videos are responsible for 47%
of the total engagement</t>
  </si>
  <si>
    <t>Sum of Saves</t>
  </si>
  <si>
    <t>Short videos are responsible for 55% of the total saves</t>
  </si>
  <si>
    <t>Facebook has highest reach but not delivering engagement rate as per the reach</t>
  </si>
  <si>
    <t>LinkedIn is the DARK Horse performing the best for link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</si>
</sst>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Carlito"/>
    </font>
    <font>
      <sz val="10.5"/>
      <name val="Aptos"/>
      <family val="2"/>
    </font>
    <font>
      <sz val="7"/>
      <name val="Times New Roman"/>
      <family val="1"/>
    </font>
    <font>
      <sz val="10.5"/>
      <name val="Symbol"/>
      <family val="1"/>
      <charset val="2"/>
    </font>
    <font>
      <b/>
      <sz val="10.5"/>
      <name val="Aptos"/>
      <family val="2"/>
    </font>
    <font>
      <b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0" fontId="0" fillId="0" borderId="0" xfId="1" applyNumberFormat="1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fill>
        <patternFill patternType="solid">
          <fgColor rgb="FFFFC7CE"/>
          <bgColor rgb="FF000000"/>
        </patternFill>
      </fill>
    </dxf>
    <dxf>
      <numFmt numFmtId="14" formatCode="0.00%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2'!$B$3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</c:strCache>
            </c:strRef>
          </c:cat>
          <c:val>
            <c:numRef>
              <c:f>'Sheet 2'!$B$4:$B$7</c:f>
              <c:numCache>
                <c:formatCode>#,##0</c:formatCode>
                <c:ptCount val="3"/>
                <c:pt idx="0">
                  <c:v>201434</c:v>
                </c:pt>
                <c:pt idx="1">
                  <c:v>448779</c:v>
                </c:pt>
                <c:pt idx="2">
                  <c:v>55162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B-4DEC-A1D5-4FF65672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561663"/>
        <c:axId val="488672655"/>
      </c:barChart>
      <c:lineChart>
        <c:grouping val="standard"/>
        <c:varyColors val="0"/>
        <c:ser>
          <c:idx val="1"/>
          <c:order val="1"/>
          <c:tx>
            <c:strRef>
              <c:f>'Sheet 2'!$C$3</c:f>
              <c:strCache>
                <c:ptCount val="1"/>
                <c:pt idx="0">
                  <c:v>Average of Engagement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2'!$A$4:$A$7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</c:strCache>
            </c:strRef>
          </c:cat>
          <c:val>
            <c:numRef>
              <c:f>'Sheet 2'!$C$4:$C$7</c:f>
              <c:numCache>
                <c:formatCode>0.00</c:formatCode>
                <c:ptCount val="3"/>
                <c:pt idx="0">
                  <c:v>2.2860804020100502</c:v>
                </c:pt>
                <c:pt idx="1">
                  <c:v>5.7221484374999978</c:v>
                </c:pt>
                <c:pt idx="2">
                  <c:v>3.8622068965517249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B-4DEC-A1D5-4FF65672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0532431"/>
        <c:axId val="488684655"/>
      </c:lineChart>
      <c:catAx>
        <c:axId val="137056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72655"/>
        <c:crosses val="autoZero"/>
        <c:auto val="1"/>
        <c:lblAlgn val="ctr"/>
        <c:lblOffset val="100"/>
        <c:noMultiLvlLbl val="0"/>
      </c:catAx>
      <c:valAx>
        <c:axId val="48867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61663"/>
        <c:crosses val="autoZero"/>
        <c:crossBetween val="between"/>
      </c:valAx>
      <c:valAx>
        <c:axId val="48868465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32431"/>
        <c:crosses val="max"/>
        <c:crossBetween val="between"/>
      </c:valAx>
      <c:catAx>
        <c:axId val="1370532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86846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2'!$A$21:$A$24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</c:strCache>
            </c:strRef>
          </c:cat>
          <c:val>
            <c:numRef>
              <c:f>'Sheet 2'!$B$21:$B$24</c:f>
              <c:numCache>
                <c:formatCode>#,##0</c:formatCode>
                <c:ptCount val="3"/>
                <c:pt idx="0">
                  <c:v>8563233</c:v>
                </c:pt>
                <c:pt idx="1">
                  <c:v>7619291</c:v>
                </c:pt>
                <c:pt idx="2">
                  <c:v>1360278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8-4E86-8522-1AA40B8B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505983"/>
        <c:axId val="488696655"/>
      </c:barChart>
      <c:catAx>
        <c:axId val="137050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96655"/>
        <c:crosses val="autoZero"/>
        <c:auto val="1"/>
        <c:lblAlgn val="ctr"/>
        <c:lblOffset val="100"/>
        <c:noMultiLvlLbl val="0"/>
      </c:catAx>
      <c:valAx>
        <c:axId val="48869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0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2'!$B$41</c:f>
              <c:strCache>
                <c:ptCount val="1"/>
                <c:pt idx="0">
                  <c:v>Sum of Link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2'!$A$42:$A$45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</c:strCache>
            </c:strRef>
          </c:cat>
          <c:val>
            <c:numRef>
              <c:f>'Sheet 2'!$B$42:$B$45</c:f>
              <c:numCache>
                <c:formatCode>#,##0</c:formatCode>
                <c:ptCount val="3"/>
                <c:pt idx="0">
                  <c:v>40171</c:v>
                </c:pt>
                <c:pt idx="1">
                  <c:v>82671</c:v>
                </c:pt>
                <c:pt idx="2">
                  <c:v>18526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B-4A24-AC5F-6B0C95B61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471343"/>
        <c:axId val="905455727"/>
      </c:barChart>
      <c:lineChart>
        <c:grouping val="standard"/>
        <c:varyColors val="0"/>
        <c:ser>
          <c:idx val="1"/>
          <c:order val="1"/>
          <c:tx>
            <c:strRef>
              <c:f>'Sheet 2'!$C$41</c:f>
              <c:strCache>
                <c:ptCount val="1"/>
                <c:pt idx="0">
                  <c:v>Average of Link Click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2'!$A$42:$A$45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</c:strCache>
            </c:strRef>
          </c:cat>
          <c:val>
            <c:numRef>
              <c:f>'Sheet 2'!$C$42:$C$45</c:f>
              <c:numCache>
                <c:formatCode>0.00%</c:formatCode>
                <c:ptCount val="3"/>
                <c:pt idx="0">
                  <c:v>4.7273294791664476E-3</c:v>
                </c:pt>
                <c:pt idx="1">
                  <c:v>1.072027506652699E-2</c:v>
                </c:pt>
                <c:pt idx="2">
                  <c:v>1.3532494411389576E-2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1B-4A24-AC5F-6B0C95B61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441183"/>
        <c:axId val="905449007"/>
      </c:lineChart>
      <c:catAx>
        <c:axId val="137147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55727"/>
        <c:crosses val="autoZero"/>
        <c:auto val="1"/>
        <c:lblAlgn val="ctr"/>
        <c:lblOffset val="100"/>
        <c:noMultiLvlLbl val="0"/>
      </c:catAx>
      <c:valAx>
        <c:axId val="9054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471343"/>
        <c:crosses val="autoZero"/>
        <c:crossBetween val="between"/>
      </c:valAx>
      <c:valAx>
        <c:axId val="9054490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441183"/>
        <c:crosses val="max"/>
        <c:crossBetween val="between"/>
      </c:valAx>
      <c:catAx>
        <c:axId val="1371441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5449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'Sheet 2'!$B$57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66-4B37-AD19-C12DB51606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66-4B37-AD19-C12DB51606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66-4B37-AD19-C12DB51606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66-4B37-AD19-C12DB516069B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 2'!$A$58:$A$62</c:f>
              <c:strCache>
                <c:ptCount val="4"/>
                <c:pt idx="0">
                  <c:v>Carousel</c:v>
                </c:pt>
                <c:pt idx="1">
                  <c:v>Short Video</c:v>
                </c:pt>
                <c:pt idx="2">
                  <c:v>Static Image</c:v>
                </c:pt>
                <c:pt idx="3">
                  <c:v>Text/Article</c:v>
                </c:pt>
              </c:strCache>
            </c:strRef>
          </c:cat>
          <c:val>
            <c:numRef>
              <c:f>'Sheet 2'!$B$58:$B$62</c:f>
              <c:numCache>
                <c:formatCode>#,##0</c:formatCode>
                <c:ptCount val="4"/>
                <c:pt idx="0">
                  <c:v>188748</c:v>
                </c:pt>
                <c:pt idx="1">
                  <c:v>335571</c:v>
                </c:pt>
                <c:pt idx="2">
                  <c:v>124805</c:v>
                </c:pt>
                <c:pt idx="3">
                  <c:v>56251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0-4D2F-B225-39BFB4FBA0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2!PivotTable6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'Sheet 2'!$B$78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94-4156-8012-55A3E2D5B9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94-4156-8012-55A3E2D5B9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94-4156-8012-55A3E2D5B9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94-4156-8012-55A3E2D5B9C0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'Sheet 2'!$A$79:$A$83</c:f>
              <c:strCache>
                <c:ptCount val="4"/>
                <c:pt idx="0">
                  <c:v>Carousel</c:v>
                </c:pt>
                <c:pt idx="1">
                  <c:v>Short Video</c:v>
                </c:pt>
                <c:pt idx="2">
                  <c:v>Static Image</c:v>
                </c:pt>
                <c:pt idx="3">
                  <c:v>Text/Article</c:v>
                </c:pt>
              </c:strCache>
            </c:strRef>
          </c:cat>
          <c:val>
            <c:numRef>
              <c:f>'Sheet 2'!$B$79:$B$83</c:f>
              <c:numCache>
                <c:formatCode>General</c:formatCode>
                <c:ptCount val="4"/>
                <c:pt idx="0">
                  <c:v>25471</c:v>
                </c:pt>
                <c:pt idx="1">
                  <c:v>52403</c:v>
                </c:pt>
                <c:pt idx="2">
                  <c:v>12929</c:v>
                </c:pt>
                <c:pt idx="3">
                  <c:v>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A-4960-A19B-9AB2778D76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2!PivotTable7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2'!$B$94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2'!$A$95:$A$100</c:f>
              <c:strCache>
                <c:ptCount val="5"/>
                <c:pt idx="0">
                  <c:v>Behind the Scenes</c:v>
                </c:pt>
                <c:pt idx="1">
                  <c:v>Customer Story</c:v>
                </c:pt>
                <c:pt idx="2">
                  <c:v>Educational / How-To</c:v>
                </c:pt>
                <c:pt idx="3">
                  <c:v>Product Promotion</c:v>
                </c:pt>
                <c:pt idx="4">
                  <c:v>Thought Leadership</c:v>
                </c:pt>
              </c:strCache>
            </c:strRef>
          </c:cat>
          <c:val>
            <c:numRef>
              <c:f>'Sheet 2'!$B$95:$B$100</c:f>
              <c:numCache>
                <c:formatCode>General</c:formatCode>
                <c:ptCount val="5"/>
                <c:pt idx="0">
                  <c:v>13256</c:v>
                </c:pt>
                <c:pt idx="1">
                  <c:v>13782</c:v>
                </c:pt>
                <c:pt idx="2">
                  <c:v>45373</c:v>
                </c:pt>
                <c:pt idx="3">
                  <c:v>12044</c:v>
                </c:pt>
                <c:pt idx="4">
                  <c:v>11272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8-45F4-AC77-9366009B98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9736111"/>
        <c:axId val="1463124079"/>
      </c:barChart>
      <c:catAx>
        <c:axId val="146973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24079"/>
        <c:crosses val="autoZero"/>
        <c:auto val="1"/>
        <c:lblAlgn val="ctr"/>
        <c:lblOffset val="100"/>
        <c:noMultiLvlLbl val="0"/>
      </c:catAx>
      <c:valAx>
        <c:axId val="146312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3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 GlowNest_Social_Media_Analytics_Dataset.xlsx]Sheet 2!PivotTable8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2'!$B$115</c:f>
              <c:strCache>
                <c:ptCount val="1"/>
                <c:pt idx="0">
                  <c:v>Sum of Engagements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2'!$A$116:$A$121</c:f>
              <c:strCache>
                <c:ptCount val="5"/>
                <c:pt idx="0">
                  <c:v>Behind the Scenes</c:v>
                </c:pt>
                <c:pt idx="1">
                  <c:v>Customer Story</c:v>
                </c:pt>
                <c:pt idx="2">
                  <c:v>Educational / How-To</c:v>
                </c:pt>
                <c:pt idx="3">
                  <c:v>Product Promotion</c:v>
                </c:pt>
                <c:pt idx="4">
                  <c:v>Thought Leadership</c:v>
                </c:pt>
              </c:strCache>
            </c:strRef>
          </c:cat>
          <c:val>
            <c:numRef>
              <c:f>'Sheet 2'!$B$116:$B$121</c:f>
              <c:numCache>
                <c:formatCode>#,##0</c:formatCode>
                <c:ptCount val="5"/>
                <c:pt idx="0">
                  <c:v>110079</c:v>
                </c:pt>
                <c:pt idx="1">
                  <c:v>99990</c:v>
                </c:pt>
                <c:pt idx="2">
                  <c:v>275681</c:v>
                </c:pt>
                <c:pt idx="3">
                  <c:v>130082</c:v>
                </c:pt>
                <c:pt idx="4">
                  <c:v>89543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9-48DB-B3C6-98F5FDD4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69784831"/>
        <c:axId val="1463049199"/>
      </c:barChart>
      <c:lineChart>
        <c:grouping val="standard"/>
        <c:varyColors val="0"/>
        <c:ser>
          <c:idx val="1"/>
          <c:order val="1"/>
          <c:tx>
            <c:strRef>
              <c:f>'Sheet 2'!$C$115</c:f>
              <c:strCache>
                <c:ptCount val="1"/>
                <c:pt idx="0">
                  <c:v>Average of Engagement Rate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2'!$A$116:$A$121</c:f>
              <c:strCache>
                <c:ptCount val="5"/>
                <c:pt idx="0">
                  <c:v>Behind the Scenes</c:v>
                </c:pt>
                <c:pt idx="1">
                  <c:v>Customer Story</c:v>
                </c:pt>
                <c:pt idx="2">
                  <c:v>Educational / How-To</c:v>
                </c:pt>
                <c:pt idx="3">
                  <c:v>Product Promotion</c:v>
                </c:pt>
                <c:pt idx="4">
                  <c:v>Thought Leadership</c:v>
                </c:pt>
              </c:strCache>
            </c:strRef>
          </c:cat>
          <c:val>
            <c:numRef>
              <c:f>'Sheet 2'!$C$116:$C$121</c:f>
              <c:numCache>
                <c:formatCode>0.00</c:formatCode>
                <c:ptCount val="5"/>
                <c:pt idx="0">
                  <c:v>4.3283168316831695</c:v>
                </c:pt>
                <c:pt idx="1">
                  <c:v>4.2832911392405073</c:v>
                </c:pt>
                <c:pt idx="2">
                  <c:v>5.3862576687116563</c:v>
                </c:pt>
                <c:pt idx="3">
                  <c:v>2.7442405063291146</c:v>
                </c:pt>
                <c:pt idx="4">
                  <c:v>3.9669696969696964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9-48DB-B3C6-98F5FDD4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718015"/>
        <c:axId val="1463155759"/>
      </c:lineChart>
      <c:catAx>
        <c:axId val="146978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049199"/>
        <c:crosses val="autoZero"/>
        <c:auto val="1"/>
        <c:lblAlgn val="ctr"/>
        <c:lblOffset val="100"/>
        <c:noMultiLvlLbl val="0"/>
      </c:catAx>
      <c:valAx>
        <c:axId val="14630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84831"/>
        <c:crosses val="autoZero"/>
        <c:crossBetween val="between"/>
      </c:valAx>
      <c:valAx>
        <c:axId val="146315575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18015"/>
        <c:crosses val="max"/>
        <c:crossBetween val="between"/>
      </c:valAx>
      <c:catAx>
        <c:axId val="1469718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3155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606</xdr:row>
      <xdr:rowOff>121920</xdr:rowOff>
    </xdr:from>
    <xdr:to>
      <xdr:col>5</xdr:col>
      <xdr:colOff>1318260</xdr:colOff>
      <xdr:row>609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104E9D-2BD0-4062-9E99-371131A9CC18}"/>
            </a:ext>
          </a:extLst>
        </xdr:cNvPr>
        <xdr:cNvSpPr txBox="1"/>
      </xdr:nvSpPr>
      <xdr:spPr>
        <a:xfrm>
          <a:off x="3383280" y="106504740"/>
          <a:ext cx="410718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LinkedIn, linkedin, Facebook, and FB: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Standardize Platform values.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inconsistent values such as Short Video, Reel, reels, and short video.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Paid / Organic for inconsistent casing.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lank Campaign values.</a:t>
          </a: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To check for duplicate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values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606</xdr:row>
      <xdr:rowOff>121920</xdr:rowOff>
    </xdr:from>
    <xdr:to>
      <xdr:col>5</xdr:col>
      <xdr:colOff>1318260</xdr:colOff>
      <xdr:row>609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2F601C-2CFD-6040-1ADF-55B6CDF4CC69}"/>
            </a:ext>
          </a:extLst>
        </xdr:cNvPr>
        <xdr:cNvSpPr txBox="1"/>
      </xdr:nvSpPr>
      <xdr:spPr>
        <a:xfrm>
          <a:off x="3383280" y="2049780"/>
          <a:ext cx="410718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LinkedIn, linkedin, Facebook, and FB: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Standardize Platform values.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inconsistent values such as Short Video, Reel, reels, and short video.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Paid / Organic for inconsistent casing.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lank Campaign values.</a:t>
          </a:r>
        </a:p>
        <a:p>
          <a:pPr lvl="0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To check for duplicate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values</a:t>
          </a:r>
          <a:endParaRPr lang="en-I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1177290</xdr:colOff>
      <xdr:row>1</xdr:row>
      <xdr:rowOff>64770</xdr:rowOff>
    </xdr:from>
    <xdr:to>
      <xdr:col>6</xdr:col>
      <xdr:colOff>354330</xdr:colOff>
      <xdr:row>17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DBCF48-398A-B7A7-771B-F2A89ECC6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1123950</xdr:colOff>
      <xdr:row>18</xdr:row>
      <xdr:rowOff>34290</xdr:rowOff>
    </xdr:from>
    <xdr:to>
      <xdr:col>6</xdr:col>
      <xdr:colOff>300990</xdr:colOff>
      <xdr:row>33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D70D6A-3AD8-7D9E-584E-8950146BB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788670</xdr:colOff>
      <xdr:row>35</xdr:row>
      <xdr:rowOff>140970</xdr:rowOff>
    </xdr:from>
    <xdr:to>
      <xdr:col>5</xdr:col>
      <xdr:colOff>1817370</xdr:colOff>
      <xdr:row>51</xdr:row>
      <xdr:rowOff>80010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83FFCA-7768-84B1-078E-75C4894FB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895350</xdr:colOff>
      <xdr:row>55</xdr:row>
      <xdr:rowOff>125730</xdr:rowOff>
    </xdr:from>
    <xdr:to>
      <xdr:col>6</xdr:col>
      <xdr:colOff>72390</xdr:colOff>
      <xdr:row>71</xdr:row>
      <xdr:rowOff>64770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862A1C-0942-C56F-4B32-305EA7BFF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788670</xdr:colOff>
      <xdr:row>73</xdr:row>
      <xdr:rowOff>64770</xdr:rowOff>
    </xdr:from>
    <xdr:to>
      <xdr:col>5</xdr:col>
      <xdr:colOff>1817370</xdr:colOff>
      <xdr:row>89</xdr:row>
      <xdr:rowOff>3810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1FF0B23-E248-C762-0662-08B9CD0BB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1283970</xdr:colOff>
      <xdr:row>93</xdr:row>
      <xdr:rowOff>34290</xdr:rowOff>
    </xdr:from>
    <xdr:to>
      <xdr:col>5</xdr:col>
      <xdr:colOff>461010</xdr:colOff>
      <xdr:row>108</xdr:row>
      <xdr:rowOff>148590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9A37FE-8B86-FC05-D550-A3816ED29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758190</xdr:colOff>
      <xdr:row>113</xdr:row>
      <xdr:rowOff>118110</xdr:rowOff>
    </xdr:from>
    <xdr:to>
      <xdr:col>5</xdr:col>
      <xdr:colOff>1786890</xdr:colOff>
      <xdr:row>129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301EA8-6F50-0DB9-DFD8-AF7B34EAA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nak Singh" refreshedDate="46247.837866898146" createdVersion="8" refreshedVersion="8" minRefreshableVersion="3" recordCount="600" xr:uid="{83E0C73A-2621-4BBA-B408-0E95605D9587}">
  <cacheSource type="worksheet">
    <worksheetSource name="GlowNestSocialTable"/>
  </cacheSource>
  <cacheFields count="19">
    <cacheField name="Post ID" numFmtId="0">
      <sharedItems/>
    </cacheField>
    <cacheField name="Date" numFmtId="164">
      <sharedItems containsSemiMixedTypes="0" containsNonDate="0" containsDate="1" containsString="0" minDate="2025-01-01T00:00:00" maxDate="2026-01-01T00:00:00"/>
    </cacheField>
    <cacheField name="Platform" numFmtId="0">
      <sharedItems count="3">
        <s v="LinkedIn"/>
        <s v="Facebook"/>
        <s v="instagram"/>
      </sharedItems>
    </cacheField>
    <cacheField name="Content Type" numFmtId="0">
      <sharedItems count="4">
        <s v="Text/Article"/>
        <s v="Carousel"/>
        <s v="Static Image"/>
        <s v="Short Video"/>
      </sharedItems>
    </cacheField>
    <cacheField name="Content Theme" numFmtId="0">
      <sharedItems count="5">
        <s v="Customer Story"/>
        <s v="Product Promotion"/>
        <s v="Behind the Scenes"/>
        <s v="Thought Leadership"/>
        <s v="Educational / How-To"/>
      </sharedItems>
    </cacheField>
    <cacheField name="Campaign" numFmtId="0">
      <sharedItems containsBlank="1"/>
    </cacheField>
    <cacheField name="Paid / Organic" numFmtId="0">
      <sharedItems/>
    </cacheField>
    <cacheField name="Followers at Posting" numFmtId="3">
      <sharedItems containsSemiMixedTypes="0" containsString="0" containsNumber="1" containsInteger="1" minValue="29403" maxValue="93104"/>
    </cacheField>
    <cacheField name="Impressions" numFmtId="3">
      <sharedItems containsSemiMixedTypes="0" containsString="0" containsNumber="1" containsInteger="1" minValue="4656" maxValue="148481"/>
    </cacheField>
    <cacheField name="Reach" numFmtId="3">
      <sharedItems containsSemiMixedTypes="0" containsString="0" containsNumber="1" containsInteger="1" minValue="4231" maxValue="96601"/>
    </cacheField>
    <cacheField name="Likes" numFmtId="3">
      <sharedItems containsSemiMixedTypes="0" containsString="0" containsNumber="1" containsInteger="1" minValue="66" maxValue="3902"/>
    </cacheField>
    <cacheField name="Comments" numFmtId="3">
      <sharedItems containsSemiMixedTypes="0" containsString="0" containsNumber="1" containsInteger="1" minValue="9" maxValue="617"/>
    </cacheField>
    <cacheField name="Shares" numFmtId="3">
      <sharedItems containsSemiMixedTypes="0" containsString="0" containsNumber="1" containsInteger="1" minValue="8" maxValue="532"/>
    </cacheField>
    <cacheField name="Saves" numFmtId="3">
      <sharedItems containsString="0" containsBlank="1" containsNumber="1" containsInteger="1" minValue="2" maxValue="1567"/>
    </cacheField>
    <cacheField name="Link Clicks" numFmtId="3">
      <sharedItems containsSemiMixedTypes="0" containsString="0" containsNumber="1" containsInteger="1" minValue="51" maxValue="1078"/>
    </cacheField>
    <cacheField name="Video Views" numFmtId="3">
      <sharedItems containsString="0" containsBlank="1" containsNumber="1" containsInteger="1" minValue="4334" maxValue="78229"/>
    </cacheField>
    <cacheField name="Engagements" numFmtId="3">
      <sharedItems containsSemiMixedTypes="0" containsString="0" containsNumber="1" containsInteger="1" minValue="98" maxValue="5908"/>
    </cacheField>
    <cacheField name="Engagement Rate %" numFmtId="2">
      <sharedItems containsSemiMixedTypes="0" containsString="0" containsNumber="1" minValue="0.9" maxValue="12.38"/>
    </cacheField>
    <cacheField name="Link Click Rate" numFmtId="10">
      <sharedItems containsSemiMixedTypes="0" containsString="0" containsNumber="1" minValue="2.5830608085691265E-3" maxValue="2.183455261676983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GN20250173"/>
    <d v="2025-04-15T00:00:00"/>
    <x v="0"/>
    <x v="0"/>
    <x v="0"/>
    <s v="Festive Campaign"/>
    <s v="Organic"/>
    <n v="35004"/>
    <n v="6206"/>
    <n v="5567"/>
    <n v="165"/>
    <n v="26"/>
    <n v="24"/>
    <n v="5"/>
    <n v="94"/>
    <m/>
    <n v="220"/>
    <n v="3.95"/>
    <n v="1.6885216454104544E-2"/>
  </r>
  <r>
    <s v="GN20250173"/>
    <d v="2025-04-16T00:00:00"/>
    <x v="1"/>
    <x v="0"/>
    <x v="1"/>
    <s v="New Launch"/>
    <s v="Organic"/>
    <n v="83758"/>
    <n v="42863"/>
    <n v="35360"/>
    <n v="330"/>
    <n v="43"/>
    <n v="44"/>
    <n v="35"/>
    <n v="124"/>
    <m/>
    <n v="452"/>
    <n v="1.28"/>
    <n v="3.5067873303167422E-3"/>
  </r>
  <r>
    <s v="GN20250421"/>
    <d v="2025-09-13T00:00:00"/>
    <x v="2"/>
    <x v="1"/>
    <x v="2"/>
    <s v="Festive Campaign"/>
    <s v="Organic"/>
    <n v="74611"/>
    <n v="30400"/>
    <n v="22387"/>
    <n v="776"/>
    <n v="124"/>
    <n v="134"/>
    <n v="114"/>
    <n v="164"/>
    <m/>
    <n v="1148"/>
    <n v="5.13"/>
    <n v="7.3256800821905567E-3"/>
  </r>
  <r>
    <s v="GN20250421"/>
    <d v="2025-09-13T00:00:00"/>
    <x v="2"/>
    <x v="2"/>
    <x v="3"/>
    <s v="Summer Campaign"/>
    <s v="Organic"/>
    <n v="71620"/>
    <n v="22429"/>
    <n v="18918"/>
    <n v="619"/>
    <n v="93"/>
    <n v="96"/>
    <n v="56"/>
    <n v="195"/>
    <m/>
    <n v="864"/>
    <n v="4.57"/>
    <n v="1.0307643514113543E-2"/>
  </r>
  <r>
    <s v="GN20250001"/>
    <d v="2025-01-01T00:00:00"/>
    <x v="2"/>
    <x v="3"/>
    <x v="0"/>
    <s v="Community Week"/>
    <s v="Organic"/>
    <n v="69314"/>
    <n v="28217"/>
    <n v="25676"/>
    <n v="1198"/>
    <n v="175"/>
    <n v="117"/>
    <n v="259"/>
    <n v="291"/>
    <n v="14530"/>
    <n v="1749"/>
    <n v="6.81"/>
    <n v="1.1333541050007789E-2"/>
  </r>
  <r>
    <s v="GN20250002"/>
    <d v="2025-01-01T00:00:00"/>
    <x v="2"/>
    <x v="3"/>
    <x v="1"/>
    <s v="Community Week"/>
    <s v="Organic"/>
    <n v="65292"/>
    <n v="42714"/>
    <n v="30072"/>
    <n v="838"/>
    <n v="106"/>
    <n v="103"/>
    <n v="126"/>
    <n v="273"/>
    <n v="23201"/>
    <n v="1173"/>
    <n v="3.9"/>
    <n v="9.0782122905027941E-3"/>
  </r>
  <r>
    <s v="GN20250003"/>
    <d v="2025-01-02T00:00:00"/>
    <x v="2"/>
    <x v="3"/>
    <x v="4"/>
    <s v="Always On"/>
    <s v="Organic"/>
    <n v="69676"/>
    <n v="35327"/>
    <n v="25104"/>
    <n v="1549"/>
    <n v="207"/>
    <n v="170"/>
    <n v="289"/>
    <n v="351"/>
    <n v="17044"/>
    <n v="2215"/>
    <n v="8.82"/>
    <n v="1.3981835564053538E-2"/>
  </r>
  <r>
    <s v="GN20250004"/>
    <d v="2025-01-02T00:00:00"/>
    <x v="2"/>
    <x v="2"/>
    <x v="1"/>
    <s v="New Launch"/>
    <s v="Organic"/>
    <n v="66658"/>
    <n v="24318"/>
    <n v="18331"/>
    <n v="324"/>
    <n v="38"/>
    <n v="38"/>
    <n v="41"/>
    <n v="132"/>
    <m/>
    <n v="441"/>
    <n v="2.41"/>
    <n v="7.2009164802793084E-3"/>
  </r>
  <r>
    <s v="GN20250005"/>
    <d v="2025-01-03T00:00:00"/>
    <x v="0"/>
    <x v="0"/>
    <x v="4"/>
    <s v="New Launch"/>
    <s v="Organic"/>
    <n v="31779"/>
    <n v="12567"/>
    <n v="8600"/>
    <n v="260"/>
    <n v="37"/>
    <n v="42"/>
    <n v="57"/>
    <n v="130"/>
    <m/>
    <n v="396"/>
    <n v="4.5999999999999996"/>
    <n v="1.5116279069767442E-2"/>
  </r>
  <r>
    <s v="GN20250006"/>
    <d v="2025-01-04T00:00:00"/>
    <x v="1"/>
    <x v="1"/>
    <x v="1"/>
    <s v="Always On"/>
    <s v="Paid"/>
    <n v="79412"/>
    <n v="98802"/>
    <n v="65312"/>
    <n v="660"/>
    <n v="74"/>
    <n v="96"/>
    <n v="49"/>
    <n v="274"/>
    <m/>
    <n v="879"/>
    <n v="1.35"/>
    <n v="4.1952474277315039E-3"/>
  </r>
  <r>
    <s v="GN20250007"/>
    <d v="2025-01-04T00:00:00"/>
    <x v="2"/>
    <x v="1"/>
    <x v="1"/>
    <s v="Community Week"/>
    <s v="Paid"/>
    <n v="67886"/>
    <n v="54745"/>
    <n v="36198"/>
    <n v="863"/>
    <n v="102"/>
    <n v="139"/>
    <n v="162"/>
    <n v="254"/>
    <m/>
    <n v="1266"/>
    <n v="3.5"/>
    <n v="7.0169622631084594E-3"/>
  </r>
  <r>
    <s v="GN20250008"/>
    <d v="2025-01-05T00:00:00"/>
    <x v="1"/>
    <x v="0"/>
    <x v="1"/>
    <s v="Always On"/>
    <s v="Paid"/>
    <n v="82175"/>
    <n v="64896"/>
    <n v="42350"/>
    <n v="323"/>
    <n v="46"/>
    <n v="45"/>
    <n v="16"/>
    <n v="212"/>
    <m/>
    <n v="430"/>
    <n v="1.02"/>
    <n v="5.0059031877213696E-3"/>
  </r>
  <r>
    <s v="GN20250009"/>
    <d v="2025-01-05T00:00:00"/>
    <x v="1"/>
    <x v="1"/>
    <x v="1"/>
    <s v="Festive Campaign"/>
    <s v="Paid"/>
    <n v="82216"/>
    <n v="90030"/>
    <n v="59219"/>
    <n v="596"/>
    <n v="66"/>
    <n v="67"/>
    <n v="44"/>
    <n v="294"/>
    <m/>
    <n v="773"/>
    <n v="1.31"/>
    <n v="4.9646228406423614E-3"/>
  </r>
  <r>
    <s v="GN20250010"/>
    <d v="2025-01-06T00:00:00"/>
    <x v="2"/>
    <x v="1"/>
    <x v="4"/>
    <s v="Summer Campaign"/>
    <s v="Organic"/>
    <n v="67976"/>
    <n v="29418"/>
    <n v="23688"/>
    <n v="1129"/>
    <n v="180"/>
    <n v="168"/>
    <n v="202"/>
    <n v="332"/>
    <m/>
    <n v="1679"/>
    <n v="7.09"/>
    <n v="1.4015535292131037E-2"/>
  </r>
  <r>
    <s v="GN20250011"/>
    <d v="2025-01-07T00:00:00"/>
    <x v="0"/>
    <x v="3"/>
    <x v="3"/>
    <s v="Always On"/>
    <s v="Organic"/>
    <n v="32149"/>
    <n v="10636"/>
    <n v="7326"/>
    <n v="226"/>
    <n v="26"/>
    <n v="29"/>
    <n v="28"/>
    <n v="122"/>
    <n v="4334"/>
    <n v="309"/>
    <n v="4.22"/>
    <n v="1.6653016653016654E-2"/>
  </r>
  <r>
    <s v="GN20250012"/>
    <d v="2025-01-07T00:00:00"/>
    <x v="0"/>
    <x v="2"/>
    <x v="3"/>
    <s v="New Launch"/>
    <s v="Organic"/>
    <n v="33214"/>
    <n v="6632"/>
    <n v="5797"/>
    <n v="144"/>
    <n v="19"/>
    <n v="16"/>
    <n v="17"/>
    <n v="91"/>
    <m/>
    <n v="196"/>
    <n v="3.38"/>
    <n v="1.5697774711057443E-2"/>
  </r>
  <r>
    <s v="GN20250013"/>
    <d v="2025-01-08T00:00:00"/>
    <x v="2"/>
    <x v="2"/>
    <x v="2"/>
    <s v="New Launch"/>
    <s v="Paid"/>
    <n v="68168"/>
    <n v="36680"/>
    <n v="33445"/>
    <n v="1069"/>
    <n v="151"/>
    <n v="141"/>
    <n v="146"/>
    <n v="291"/>
    <m/>
    <n v="1507"/>
    <n v="4.51"/>
    <n v="8.7008521453132009E-3"/>
  </r>
  <r>
    <s v="GN20250014"/>
    <d v="2025-01-08T00:00:00"/>
    <x v="0"/>
    <x v="0"/>
    <x v="3"/>
    <s v="Festive Campaign"/>
    <s v="Organic"/>
    <n v="30815"/>
    <n v="4656"/>
    <n v="4231"/>
    <n v="66"/>
    <n v="13"/>
    <n v="11"/>
    <n v="8"/>
    <n v="52"/>
    <m/>
    <n v="98"/>
    <n v="2.3199999999999998"/>
    <n v="1.2290238714251949E-2"/>
  </r>
  <r>
    <s v="GN20250015"/>
    <d v="2025-01-09T00:00:00"/>
    <x v="1"/>
    <x v="1"/>
    <x v="1"/>
    <s v="New Launch"/>
    <s v="Organic"/>
    <n v="81551"/>
    <n v="57188"/>
    <n v="46115"/>
    <n v="628"/>
    <n v="63"/>
    <n v="56"/>
    <n v="89"/>
    <n v="155"/>
    <m/>
    <n v="836"/>
    <n v="1.81"/>
    <n v="3.3611623116122737E-3"/>
  </r>
  <r>
    <s v="GN20250016"/>
    <d v="2025-01-10T00:00:00"/>
    <x v="2"/>
    <x v="2"/>
    <x v="0"/>
    <s v="Summer Campaign"/>
    <s v="Paid"/>
    <n v="67498"/>
    <n v="41849"/>
    <n v="33408"/>
    <n v="899"/>
    <n v="136"/>
    <n v="117"/>
    <n v="113"/>
    <n v="279"/>
    <m/>
    <n v="1265"/>
    <n v="3.79"/>
    <n v="8.3512931034482752E-3"/>
  </r>
  <r>
    <s v="GN20250017"/>
    <d v="2025-01-10T00:00:00"/>
    <x v="0"/>
    <x v="0"/>
    <x v="2"/>
    <s v="Community Week"/>
    <s v="Organic"/>
    <n v="29538"/>
    <n v="6549"/>
    <n v="4496"/>
    <n v="100"/>
    <n v="16"/>
    <n v="15"/>
    <n v="2"/>
    <n v="66"/>
    <m/>
    <n v="133"/>
    <n v="2.96"/>
    <n v="1.4679715302491103E-2"/>
  </r>
  <r>
    <s v="GN20250018"/>
    <d v="2025-01-11T00:00:00"/>
    <x v="2"/>
    <x v="3"/>
    <x v="1"/>
    <s v="Always On"/>
    <s v="Organic"/>
    <n v="68264"/>
    <n v="39405"/>
    <n v="30150"/>
    <n v="1004"/>
    <n v="176"/>
    <n v="168"/>
    <n v="63"/>
    <n v="298"/>
    <n v="20292"/>
    <n v="1411"/>
    <n v="4.68"/>
    <n v="9.8839137645107787E-3"/>
  </r>
  <r>
    <s v="GN20250019"/>
    <d v="2025-01-11T00:00:00"/>
    <x v="2"/>
    <x v="3"/>
    <x v="4"/>
    <s v="New Launch"/>
    <s v="Paid"/>
    <n v="69217"/>
    <n v="61861"/>
    <n v="42385"/>
    <n v="2290"/>
    <n v="349"/>
    <n v="353"/>
    <n v="460"/>
    <n v="691"/>
    <n v="30450"/>
    <n v="3452"/>
    <n v="8.14"/>
    <n v="1.6302937359915063E-2"/>
  </r>
  <r>
    <s v="GN20250020"/>
    <d v="2025-01-12T00:00:00"/>
    <x v="0"/>
    <x v="0"/>
    <x v="4"/>
    <s v="Summer Campaign"/>
    <s v="Organic"/>
    <n v="32540"/>
    <n v="9299"/>
    <n v="7806"/>
    <n v="252"/>
    <n v="33"/>
    <n v="42"/>
    <n v="26"/>
    <n v="130"/>
    <m/>
    <n v="353"/>
    <n v="4.5199999999999996"/>
    <n v="1.6653856008198822E-2"/>
  </r>
  <r>
    <s v="GN20250021"/>
    <d v="2025-01-13T00:00:00"/>
    <x v="1"/>
    <x v="1"/>
    <x v="3"/>
    <s v="Summer Campaign"/>
    <s v="Organic"/>
    <n v="83555"/>
    <n v="49814"/>
    <n v="34545"/>
    <n v="556"/>
    <n v="99"/>
    <n v="52"/>
    <n v="78"/>
    <n v="153"/>
    <m/>
    <n v="785"/>
    <n v="2.27"/>
    <n v="4.4290056448111157E-3"/>
  </r>
  <r>
    <s v="GN20250022"/>
    <d v="2025-01-13T00:00:00"/>
    <x v="0"/>
    <x v="0"/>
    <x v="3"/>
    <s v="Community Week"/>
    <s v="Organic"/>
    <n v="31452"/>
    <n v="8801"/>
    <n v="5936"/>
    <n v="122"/>
    <n v="14"/>
    <n v="17"/>
    <n v="9"/>
    <n v="114"/>
    <m/>
    <n v="162"/>
    <n v="2.73"/>
    <n v="1.9204851752021565E-2"/>
  </r>
  <r>
    <s v="GN20250023"/>
    <d v="2025-01-14T00:00:00"/>
    <x v="1"/>
    <x v="3"/>
    <x v="3"/>
    <s v="New Launch"/>
    <s v="Organic"/>
    <n v="83160"/>
    <n v="39016"/>
    <n v="35599"/>
    <n v="588"/>
    <n v="71"/>
    <n v="92"/>
    <n v="230"/>
    <n v="209"/>
    <n v="30308"/>
    <n v="981"/>
    <n v="2.76"/>
    <n v="5.8709514312199782E-3"/>
  </r>
  <r>
    <s v="GN20250024"/>
    <d v="2025-01-14T00:00:00"/>
    <x v="2"/>
    <x v="3"/>
    <x v="2"/>
    <s v="New Launch"/>
    <s v="Organic"/>
    <n v="68871"/>
    <n v="43583"/>
    <n v="28564"/>
    <n v="1266"/>
    <n v="252"/>
    <n v="202"/>
    <n v="354"/>
    <n v="245"/>
    <n v="25047"/>
    <n v="2074"/>
    <n v="7.26"/>
    <n v="8.5772300798207541E-3"/>
  </r>
  <r>
    <s v="GN20250025"/>
    <d v="2025-01-15T00:00:00"/>
    <x v="2"/>
    <x v="2"/>
    <x v="2"/>
    <s v="Community Week"/>
    <s v="Paid"/>
    <n v="67170"/>
    <n v="32202"/>
    <n v="27603"/>
    <n v="891"/>
    <n v="128"/>
    <n v="101"/>
    <n v="68"/>
    <n v="176"/>
    <m/>
    <n v="1188"/>
    <n v="4.3"/>
    <n v="6.3761185378400902E-3"/>
  </r>
  <r>
    <s v="GN20250026"/>
    <d v="2025-01-16T00:00:00"/>
    <x v="2"/>
    <x v="0"/>
    <x v="1"/>
    <s v="Festive Campaign"/>
    <s v="Organic"/>
    <n v="69326"/>
    <n v="27571"/>
    <n v="23002"/>
    <n v="386"/>
    <n v="57"/>
    <n v="47"/>
    <n v="42"/>
    <n v="277"/>
    <m/>
    <n v="532"/>
    <n v="2.31"/>
    <n v="1.204243109294844E-2"/>
  </r>
  <r>
    <s v="GN20250027"/>
    <d v="2025-01-16T00:00:00"/>
    <x v="2"/>
    <x v="2"/>
    <x v="1"/>
    <s v="New Launch"/>
    <s v="Organic"/>
    <n v="69020"/>
    <n v="38207"/>
    <n v="25250"/>
    <n v="419"/>
    <n v="53"/>
    <n v="53"/>
    <n v="65"/>
    <n v="172"/>
    <m/>
    <n v="590"/>
    <n v="2.34"/>
    <n v="6.8118811881188119E-3"/>
  </r>
  <r>
    <s v="GN20250028"/>
    <d v="2025-01-17T00:00:00"/>
    <x v="2"/>
    <x v="3"/>
    <x v="4"/>
    <s v="Community Week"/>
    <s v="Organic"/>
    <n v="69127"/>
    <n v="52521"/>
    <n v="40346"/>
    <n v="2936"/>
    <n v="352"/>
    <n v="319"/>
    <n v="820"/>
    <n v="532"/>
    <n v="22463"/>
    <n v="4427"/>
    <n v="10.97"/>
    <n v="1.3185941605115749E-2"/>
  </r>
  <r>
    <s v="GN20250029"/>
    <d v="2025-01-18T00:00:00"/>
    <x v="2"/>
    <x v="3"/>
    <x v="0"/>
    <s v="Community Week"/>
    <s v="Paid"/>
    <n v="68541"/>
    <n v="60075"/>
    <n v="49180"/>
    <n v="2080"/>
    <n v="304"/>
    <n v="303"/>
    <n v="429"/>
    <n v="599"/>
    <n v="38602"/>
    <n v="3116"/>
    <n v="6.34"/>
    <n v="1.2179747864985766E-2"/>
  </r>
  <r>
    <s v="GN20250030"/>
    <d v="2025-01-18T00:00:00"/>
    <x v="1"/>
    <x v="2"/>
    <x v="3"/>
    <s v="Always On"/>
    <s v="Organic"/>
    <n v="79776"/>
    <n v="26575"/>
    <n v="22242"/>
    <n v="308"/>
    <n v="46"/>
    <n v="52"/>
    <n v="30"/>
    <n v="108"/>
    <m/>
    <n v="436"/>
    <n v="1.96"/>
    <n v="4.8556784461828975E-3"/>
  </r>
  <r>
    <s v="GN20250031"/>
    <d v="2025-01-19T00:00:00"/>
    <x v="2"/>
    <x v="2"/>
    <x v="4"/>
    <s v="Festive Campaign"/>
    <s v="Organic"/>
    <n v="69382"/>
    <n v="23039"/>
    <n v="20646"/>
    <n v="954"/>
    <n v="162"/>
    <n v="81"/>
    <n v="160"/>
    <n v="188"/>
    <m/>
    <n v="1357"/>
    <n v="6.57"/>
    <n v="9.1058800736220098E-3"/>
  </r>
  <r>
    <s v="GN20250032"/>
    <d v="2025-01-19T00:00:00"/>
    <x v="1"/>
    <x v="1"/>
    <x v="4"/>
    <s v="New Launch"/>
    <s v="Organic"/>
    <n v="81946"/>
    <n v="51830"/>
    <n v="36181"/>
    <n v="924"/>
    <n v="152"/>
    <n v="121"/>
    <n v="172"/>
    <n v="170"/>
    <m/>
    <n v="1369"/>
    <n v="3.78"/>
    <n v="4.6985987120311762E-3"/>
  </r>
  <r>
    <s v="GN20250033"/>
    <d v="2025-01-20T00:00:00"/>
    <x v="1"/>
    <x v="2"/>
    <x v="3"/>
    <s v="Summer Campaign"/>
    <s v="Organic"/>
    <n v="81812"/>
    <n v="28004"/>
    <n v="24107"/>
    <n v="261"/>
    <n v="30"/>
    <n v="40"/>
    <n v="36"/>
    <n v="108"/>
    <m/>
    <n v="367"/>
    <n v="1.52"/>
    <n v="4.4800265483054711E-3"/>
  </r>
  <r>
    <s v="GN20250034"/>
    <d v="2025-01-21T00:00:00"/>
    <x v="2"/>
    <x v="3"/>
    <x v="0"/>
    <s v="Always On"/>
    <s v="Organic"/>
    <n v="67271"/>
    <n v="42269"/>
    <n v="33671"/>
    <n v="1555"/>
    <n v="200"/>
    <n v="137"/>
    <n v="416"/>
    <n v="367"/>
    <n v="26599"/>
    <n v="2308"/>
    <n v="6.85"/>
    <n v="1.0899587181847881E-2"/>
  </r>
  <r>
    <s v="GN20250035"/>
    <d v="2025-01-21T00:00:00"/>
    <x v="1"/>
    <x v="1"/>
    <x v="0"/>
    <s v="Always On"/>
    <s v="Paid"/>
    <n v="83004"/>
    <n v="74716"/>
    <n v="66443"/>
    <n v="1324"/>
    <n v="194"/>
    <n v="193"/>
    <n v="186"/>
    <n v="393"/>
    <m/>
    <n v="1897"/>
    <n v="2.86"/>
    <n v="5.914844302635342E-3"/>
  </r>
  <r>
    <s v="GN20250036"/>
    <d v="2025-01-22T00:00:00"/>
    <x v="2"/>
    <x v="2"/>
    <x v="0"/>
    <s v="Festive Campaign"/>
    <s v="Organic"/>
    <n v="68114"/>
    <n v="29880"/>
    <n v="19516"/>
    <n v="539"/>
    <n v="98"/>
    <n v="65"/>
    <n v="72"/>
    <n v="225"/>
    <m/>
    <n v="774"/>
    <n v="3.97"/>
    <n v="1.1529001844640296E-2"/>
  </r>
  <r>
    <s v="GN20250037"/>
    <d v="2025-01-22T00:00:00"/>
    <x v="1"/>
    <x v="2"/>
    <x v="3"/>
    <s v="Community Week"/>
    <s v="Organic"/>
    <n v="82887"/>
    <n v="37210"/>
    <n v="24888"/>
    <n v="355"/>
    <n v="44"/>
    <n v="55"/>
    <n v="31"/>
    <n v="132"/>
    <m/>
    <n v="485"/>
    <n v="1.95"/>
    <n v="5.303760848601736E-3"/>
  </r>
  <r>
    <s v="GN20250038"/>
    <d v="2025-01-23T00:00:00"/>
    <x v="1"/>
    <x v="1"/>
    <x v="0"/>
    <s v="Summer Campaign"/>
    <s v="Organic"/>
    <n v="82066"/>
    <n v="61332"/>
    <n v="43356"/>
    <n v="857"/>
    <n v="103"/>
    <n v="122"/>
    <n v="225"/>
    <n v="162"/>
    <m/>
    <n v="1307"/>
    <n v="3.01"/>
    <n v="3.736507057846665E-3"/>
  </r>
  <r>
    <s v="GN20250039"/>
    <d v="2025-01-24T00:00:00"/>
    <x v="0"/>
    <x v="1"/>
    <x v="1"/>
    <s v="Festive Campaign"/>
    <s v="Paid"/>
    <n v="30843"/>
    <n v="18163"/>
    <n v="12428"/>
    <n v="286"/>
    <n v="45"/>
    <n v="31"/>
    <n v="32"/>
    <n v="107"/>
    <m/>
    <n v="394"/>
    <n v="3.17"/>
    <n v="8.6095912455745084E-3"/>
  </r>
  <r>
    <s v="GN20250040"/>
    <d v="2025-01-24T00:00:00"/>
    <x v="0"/>
    <x v="2"/>
    <x v="2"/>
    <s v="New Launch"/>
    <s v="Organic"/>
    <n v="35188"/>
    <n v="12992"/>
    <n v="9506"/>
    <n v="289"/>
    <n v="42"/>
    <n v="43"/>
    <n v="16"/>
    <n v="86"/>
    <m/>
    <n v="390"/>
    <n v="4.0999999999999996"/>
    <n v="9.0469177361666309E-3"/>
  </r>
  <r>
    <s v="GN20250041"/>
    <d v="2025-01-25T00:00:00"/>
    <x v="2"/>
    <x v="3"/>
    <x v="1"/>
    <s v="Festive Campaign"/>
    <s v="Organic"/>
    <n v="69631"/>
    <n v="43862"/>
    <n v="28688"/>
    <n v="998"/>
    <n v="137"/>
    <n v="138"/>
    <n v="205"/>
    <n v="291"/>
    <n v="24834"/>
    <n v="1478"/>
    <n v="5.15"/>
    <n v="1.0143614054657E-2"/>
  </r>
  <r>
    <s v="GN20250042"/>
    <d v="2025-01-25T00:00:00"/>
    <x v="2"/>
    <x v="1"/>
    <x v="2"/>
    <s v="Festive Campaign"/>
    <s v="Organic"/>
    <n v="67045"/>
    <n v="19573"/>
    <n v="17291"/>
    <n v="633"/>
    <n v="111"/>
    <n v="61"/>
    <n v="185"/>
    <n v="162"/>
    <m/>
    <n v="990"/>
    <n v="5.73"/>
    <n v="9.3690359146376724E-3"/>
  </r>
  <r>
    <s v="GN20250043"/>
    <d v="2025-01-26T00:00:00"/>
    <x v="0"/>
    <x v="2"/>
    <x v="3"/>
    <s v="Community Week"/>
    <s v="Organic"/>
    <n v="31836"/>
    <n v="12125"/>
    <n v="8041"/>
    <n v="170"/>
    <n v="22"/>
    <n v="18"/>
    <n v="42"/>
    <n v="106"/>
    <m/>
    <n v="252"/>
    <n v="3.13"/>
    <n v="1.3182439995025495E-2"/>
  </r>
  <r>
    <s v="GN20250044"/>
    <d v="2025-01-27T00:00:00"/>
    <x v="2"/>
    <x v="1"/>
    <x v="3"/>
    <s v="Festive Campaign"/>
    <s v="Organic"/>
    <n v="67128"/>
    <n v="21474"/>
    <n v="17412"/>
    <n v="587"/>
    <n v="102"/>
    <n v="58"/>
    <n v="84"/>
    <n v="258"/>
    <m/>
    <n v="831"/>
    <n v="4.7699999999999996"/>
    <n v="1.4817367332873881E-2"/>
  </r>
  <r>
    <s v="GN20250045"/>
    <d v="2025-01-27T00:00:00"/>
    <x v="2"/>
    <x v="2"/>
    <x v="0"/>
    <s v="Festive Campaign"/>
    <s v="Organic"/>
    <n v="70028"/>
    <n v="32112"/>
    <n v="20859"/>
    <n v="630"/>
    <n v="65"/>
    <n v="77"/>
    <n v="64"/>
    <n v="146"/>
    <m/>
    <n v="836"/>
    <n v="4.01"/>
    <n v="6.9993767678220437E-3"/>
  </r>
  <r>
    <s v="GN20250046"/>
    <d v="2025-01-28T00:00:00"/>
    <x v="1"/>
    <x v="2"/>
    <x v="3"/>
    <s v="New Launch"/>
    <s v="Organic"/>
    <n v="82473"/>
    <n v="32438"/>
    <n v="22603"/>
    <n v="339"/>
    <n v="53"/>
    <n v="45"/>
    <n v="32"/>
    <n v="110"/>
    <m/>
    <n v="469"/>
    <n v="2.0699999999999998"/>
    <n v="4.8666106269079322E-3"/>
  </r>
  <r>
    <s v="GN20250047"/>
    <d v="2025-01-28T00:00:00"/>
    <x v="2"/>
    <x v="0"/>
    <x v="0"/>
    <s v="New Launch"/>
    <s v="Organic"/>
    <n v="67966"/>
    <n v="26393"/>
    <n v="22243"/>
    <n v="821"/>
    <n v="123"/>
    <n v="103"/>
    <n v="74"/>
    <n v="224"/>
    <m/>
    <n v="1121"/>
    <n v="5.04"/>
    <n v="1.0070584003956301E-2"/>
  </r>
  <r>
    <s v="GN20250048"/>
    <d v="2025-01-29T00:00:00"/>
    <x v="2"/>
    <x v="1"/>
    <x v="1"/>
    <s v="Always On"/>
    <s v="Paid"/>
    <n v="69045"/>
    <n v="53535"/>
    <n v="38366"/>
    <n v="1110"/>
    <n v="163"/>
    <n v="154"/>
    <n v="200"/>
    <n v="297"/>
    <m/>
    <n v="1627"/>
    <n v="4.24"/>
    <n v="7.7412292133660007E-3"/>
  </r>
  <r>
    <s v="GN20250049"/>
    <d v="2025-01-30T00:00:00"/>
    <x v="1"/>
    <x v="3"/>
    <x v="1"/>
    <s v="New Launch"/>
    <s v="Organic"/>
    <n v="83394"/>
    <n v="59023"/>
    <n v="42749"/>
    <n v="624"/>
    <n v="79"/>
    <n v="104"/>
    <n v="67"/>
    <n v="193"/>
    <n v="28985"/>
    <n v="874"/>
    <n v="2.04"/>
    <n v="4.5147254906547519E-3"/>
  </r>
  <r>
    <s v="GN20250050"/>
    <d v="2025-01-30T00:00:00"/>
    <x v="0"/>
    <x v="0"/>
    <x v="1"/>
    <s v="Summer Campaign"/>
    <s v="Paid"/>
    <n v="32129"/>
    <n v="15707"/>
    <n v="11274"/>
    <n v="138"/>
    <n v="19"/>
    <n v="22"/>
    <n v="8"/>
    <n v="107"/>
    <m/>
    <n v="187"/>
    <n v="1.66"/>
    <n v="9.4908639347170472E-3"/>
  </r>
  <r>
    <s v="GN20250051"/>
    <d v="2025-01-31T00:00:00"/>
    <x v="2"/>
    <x v="2"/>
    <x v="0"/>
    <s v="Always On"/>
    <s v="Organic"/>
    <n v="67646"/>
    <n v="23044"/>
    <n v="17255"/>
    <n v="722"/>
    <n v="72"/>
    <n v="65"/>
    <n v="115"/>
    <n v="163"/>
    <m/>
    <n v="974"/>
    <n v="5.64"/>
    <n v="9.4465372355838888E-3"/>
  </r>
  <r>
    <s v="GN20250052"/>
    <d v="2025-01-31T00:00:00"/>
    <x v="1"/>
    <x v="2"/>
    <x v="4"/>
    <s v="Festive Campaign"/>
    <s v="Organic"/>
    <n v="85680"/>
    <n v="45306"/>
    <n v="35137"/>
    <n v="682"/>
    <n v="87"/>
    <n v="103"/>
    <n v="159"/>
    <n v="139"/>
    <m/>
    <n v="1031"/>
    <n v="2.93"/>
    <n v="3.9559438768249997E-3"/>
  </r>
  <r>
    <s v="GN20250053"/>
    <d v="2025-02-01T00:00:00"/>
    <x v="0"/>
    <x v="3"/>
    <x v="4"/>
    <s v="Always On"/>
    <s v="Organic"/>
    <n v="29403"/>
    <n v="16448"/>
    <n v="12793"/>
    <n v="538"/>
    <n v="76"/>
    <n v="72"/>
    <n v="285"/>
    <n v="176"/>
    <n v="10247"/>
    <n v="971"/>
    <n v="7.59"/>
    <n v="1.3757523645743766E-2"/>
  </r>
  <r>
    <s v="GN20250054"/>
    <d v="2025-02-02T00:00:00"/>
    <x v="2"/>
    <x v="3"/>
    <x v="4"/>
    <s v="Festive Campaign"/>
    <s v="Organic"/>
    <n v="71836"/>
    <n v="56247"/>
    <n v="39274"/>
    <n v="1933"/>
    <n v="301"/>
    <n v="353"/>
    <n v="767"/>
    <n v="537"/>
    <n v="27649"/>
    <n v="3354"/>
    <n v="8.5399999999999991"/>
    <n v="1.3673167999185212E-2"/>
  </r>
  <r>
    <s v="GN20250055"/>
    <d v="2025-02-02T00:00:00"/>
    <x v="1"/>
    <x v="2"/>
    <x v="3"/>
    <s v="Festive Campaign"/>
    <s v="Paid"/>
    <n v="81319"/>
    <n v="68701"/>
    <n v="50150"/>
    <n v="687"/>
    <n v="65"/>
    <n v="67"/>
    <n v="80"/>
    <n v="236"/>
    <m/>
    <n v="899"/>
    <n v="1.79"/>
    <n v="4.7058823529411761E-3"/>
  </r>
  <r>
    <s v="GN20250056"/>
    <d v="2025-02-03T00:00:00"/>
    <x v="0"/>
    <x v="0"/>
    <x v="4"/>
    <s v="Community Week"/>
    <s v="Organic"/>
    <n v="31855"/>
    <n v="12531"/>
    <n v="8556"/>
    <n v="257"/>
    <n v="29"/>
    <n v="36"/>
    <n v="20"/>
    <n v="181"/>
    <m/>
    <n v="342"/>
    <n v="4"/>
    <n v="2.1154745208041142E-2"/>
  </r>
  <r>
    <s v="GN20250057"/>
    <d v="2025-02-04T00:00:00"/>
    <x v="0"/>
    <x v="0"/>
    <x v="1"/>
    <s v="New Launch"/>
    <s v="Organic"/>
    <n v="32238"/>
    <n v="12813"/>
    <n v="8270"/>
    <n v="106"/>
    <n v="12"/>
    <n v="15"/>
    <n v="7"/>
    <n v="85"/>
    <m/>
    <n v="140"/>
    <n v="1.69"/>
    <n v="1.0278113663845224E-2"/>
  </r>
  <r>
    <s v="GN20250058"/>
    <d v="2025-02-04T00:00:00"/>
    <x v="1"/>
    <x v="3"/>
    <x v="3"/>
    <s v="Summer Campaign"/>
    <s v="Organic"/>
    <n v="85051"/>
    <n v="51275"/>
    <n v="46634"/>
    <n v="1147"/>
    <n v="125"/>
    <n v="162"/>
    <n v="210"/>
    <n v="259"/>
    <n v="38215"/>
    <n v="1644"/>
    <n v="3.53"/>
    <n v="5.5538877214049839E-3"/>
  </r>
  <r>
    <s v="GN20250059"/>
    <d v="2025-02-05T00:00:00"/>
    <x v="2"/>
    <x v="1"/>
    <x v="2"/>
    <s v="Festive Campaign"/>
    <s v="Organic"/>
    <n v="68612"/>
    <n v="26817"/>
    <n v="23942"/>
    <n v="936"/>
    <n v="137"/>
    <n v="99"/>
    <n v="89"/>
    <n v="217"/>
    <m/>
    <n v="1261"/>
    <n v="5.27"/>
    <n v="9.0635702948792911E-3"/>
  </r>
  <r>
    <s v="GN20250060"/>
    <d v="2025-02-05T00:00:00"/>
    <x v="2"/>
    <x v="3"/>
    <x v="3"/>
    <s v="Always On"/>
    <s v="Organic"/>
    <n v="69401"/>
    <n v="38172"/>
    <n v="25475"/>
    <n v="1121"/>
    <n v="136"/>
    <n v="93"/>
    <n v="217"/>
    <n v="309"/>
    <n v="20344"/>
    <n v="1567"/>
    <n v="12.3"/>
    <n v="1.2129538763493621E-2"/>
  </r>
  <r>
    <s v="GN20250061"/>
    <d v="2025-02-06T00:00:00"/>
    <x v="0"/>
    <x v="0"/>
    <x v="4"/>
    <s v="Community Week"/>
    <s v="Organic"/>
    <n v="30589"/>
    <n v="8532"/>
    <n v="5564"/>
    <n v="109"/>
    <n v="21"/>
    <n v="13"/>
    <n v="24"/>
    <n v="98"/>
    <m/>
    <n v="167"/>
    <n v="3"/>
    <n v="1.7613227893601726E-2"/>
  </r>
  <r>
    <s v="GN20250062"/>
    <d v="2025-02-07T00:00:00"/>
    <x v="1"/>
    <x v="2"/>
    <x v="1"/>
    <s v="Community Week"/>
    <s v="Paid"/>
    <n v="83727"/>
    <n v="65331"/>
    <n v="53762"/>
    <n v="352"/>
    <n v="40"/>
    <n v="38"/>
    <n v="56"/>
    <n v="153"/>
    <m/>
    <n v="486"/>
    <n v="0.9"/>
    <n v="2.8458762694840221E-3"/>
  </r>
  <r>
    <s v="GN20250063"/>
    <d v="2025-02-07T00:00:00"/>
    <x v="1"/>
    <x v="1"/>
    <x v="2"/>
    <s v="Community Week"/>
    <s v="Organic"/>
    <n v="82355"/>
    <n v="57848"/>
    <n v="38726"/>
    <n v="825"/>
    <n v="122"/>
    <n v="124"/>
    <n v="163"/>
    <n v="140"/>
    <m/>
    <n v="1234"/>
    <n v="3.19"/>
    <n v="3.6151422816712285E-3"/>
  </r>
  <r>
    <s v="GN20250064"/>
    <d v="2025-02-08T00:00:00"/>
    <x v="0"/>
    <x v="1"/>
    <x v="3"/>
    <s v="Community Week"/>
    <s v="Organic"/>
    <n v="32535"/>
    <n v="12187"/>
    <n v="9053"/>
    <n v="332"/>
    <n v="34"/>
    <n v="53"/>
    <n v="33"/>
    <n v="169"/>
    <m/>
    <n v="452"/>
    <n v="4.99"/>
    <n v="1.8667844913288413E-2"/>
  </r>
  <r>
    <s v="GN20250065"/>
    <d v="2025-02-08T00:00:00"/>
    <x v="2"/>
    <x v="1"/>
    <x v="1"/>
    <s v="New Launch"/>
    <s v="Organic"/>
    <n v="70377"/>
    <n v="47417"/>
    <n v="31054"/>
    <n v="833"/>
    <n v="90"/>
    <n v="92"/>
    <n v="165"/>
    <n v="206"/>
    <m/>
    <n v="1180"/>
    <n v="3.8"/>
    <n v="6.6336059766857729E-3"/>
  </r>
  <r>
    <s v="GN20250066"/>
    <d v="2025-02-09T00:00:00"/>
    <x v="1"/>
    <x v="3"/>
    <x v="3"/>
    <s v="Always On"/>
    <s v="Organic"/>
    <n v="83313"/>
    <n v="60721"/>
    <n v="42927"/>
    <n v="918"/>
    <n v="94"/>
    <n v="131"/>
    <n v="174"/>
    <n v="246"/>
    <n v="24801"/>
    <n v="1317"/>
    <n v="3.07"/>
    <n v="5.7306590257879654E-3"/>
  </r>
  <r>
    <s v="GN20250067"/>
    <d v="2025-02-10T00:00:00"/>
    <x v="2"/>
    <x v="1"/>
    <x v="2"/>
    <s v="Festive Campaign"/>
    <s v="Organic"/>
    <n v="68880"/>
    <n v="31509"/>
    <n v="27729"/>
    <n v="1453"/>
    <n v="248"/>
    <n v="162"/>
    <n v="94"/>
    <n v="252"/>
    <m/>
    <n v="1957"/>
    <n v="7.06"/>
    <n v="9.0879584550470627E-3"/>
  </r>
  <r>
    <s v="GN20250068"/>
    <d v="2025-02-10T00:00:00"/>
    <x v="0"/>
    <x v="3"/>
    <x v="3"/>
    <s v="Community Week"/>
    <s v="Organic"/>
    <n v="33728"/>
    <n v="13048"/>
    <n v="10004"/>
    <n v="327"/>
    <n v="62"/>
    <n v="49"/>
    <n v="67"/>
    <n v="169"/>
    <n v="7005"/>
    <n v="505"/>
    <n v="5.05"/>
    <n v="1.6893242702918834E-2"/>
  </r>
  <r>
    <s v="GN20250069"/>
    <d v="2025-02-11T00:00:00"/>
    <x v="2"/>
    <x v="2"/>
    <x v="2"/>
    <s v="Community Week"/>
    <s v="Organic"/>
    <n v="67516"/>
    <n v="32175"/>
    <n v="21342"/>
    <n v="601"/>
    <n v="78"/>
    <n v="90"/>
    <n v="68"/>
    <n v="171"/>
    <m/>
    <n v="837"/>
    <n v="3.92"/>
    <n v="8.0123699746977792E-3"/>
  </r>
  <r>
    <s v="GN20250070"/>
    <d v="2025-02-11T00:00:00"/>
    <x v="1"/>
    <x v="0"/>
    <x v="1"/>
    <s v="New Launch"/>
    <s v="Organic"/>
    <n v="83424"/>
    <n v="43373"/>
    <n v="28715"/>
    <n v="281"/>
    <n v="31"/>
    <n v="43"/>
    <n v="11"/>
    <n v="133"/>
    <m/>
    <n v="366"/>
    <n v="1.27"/>
    <n v="4.6317255789656972E-3"/>
  </r>
  <r>
    <s v="GN20250071"/>
    <d v="2025-02-12T00:00:00"/>
    <x v="0"/>
    <x v="0"/>
    <x v="3"/>
    <s v="Always On"/>
    <s v="Organic"/>
    <n v="31814"/>
    <n v="8340"/>
    <n v="6641"/>
    <n v="133"/>
    <n v="26"/>
    <n v="18"/>
    <n v="18"/>
    <n v="106"/>
    <m/>
    <n v="195"/>
    <n v="2.94"/>
    <n v="1.5961451588616171E-2"/>
  </r>
  <r>
    <s v="GN20250072"/>
    <d v="2025-02-13T00:00:00"/>
    <x v="0"/>
    <x v="1"/>
    <x v="4"/>
    <s v="Summer Campaign"/>
    <s v="Paid"/>
    <n v="30128"/>
    <n v="20181"/>
    <n v="13842"/>
    <n v="596"/>
    <n v="93"/>
    <n v="49"/>
    <n v="79"/>
    <n v="270"/>
    <m/>
    <n v="817"/>
    <n v="5.9"/>
    <n v="1.950585175552666E-2"/>
  </r>
  <r>
    <s v="GN20250073"/>
    <d v="2025-02-13T00:00:00"/>
    <x v="2"/>
    <x v="1"/>
    <x v="4"/>
    <s v="Community Week"/>
    <s v="Organic"/>
    <n v="69864"/>
    <n v="43399"/>
    <n v="29758"/>
    <n v="1541"/>
    <n v="192"/>
    <n v="226"/>
    <n v="294"/>
    <n v="441"/>
    <m/>
    <n v="2253"/>
    <n v="7.57"/>
    <n v="1.4819544324215337E-2"/>
  </r>
  <r>
    <s v="GN20250074"/>
    <d v="2025-02-14T00:00:00"/>
    <x v="2"/>
    <x v="1"/>
    <x v="2"/>
    <s v="New Launch"/>
    <s v="Organic"/>
    <n v="67637"/>
    <n v="41906"/>
    <n v="27205"/>
    <n v="1259"/>
    <n v="232"/>
    <n v="130"/>
    <n v="331"/>
    <n v="252"/>
    <m/>
    <n v="1952"/>
    <n v="7.18"/>
    <n v="9.2630031244256578E-3"/>
  </r>
  <r>
    <s v="GN20250075"/>
    <d v="2025-02-14T00:00:00"/>
    <x v="2"/>
    <x v="3"/>
    <x v="1"/>
    <s v="New Launch"/>
    <s v="Organic"/>
    <n v="67389"/>
    <n v="49954"/>
    <n v="35777"/>
    <n v="1556"/>
    <n v="194"/>
    <n v="179"/>
    <n v="163"/>
    <n v="249"/>
    <n v="27126"/>
    <n v="2092"/>
    <n v="5.85"/>
    <n v="6.959778628727954E-3"/>
  </r>
  <r>
    <s v="GN20250076"/>
    <d v="2025-02-15T00:00:00"/>
    <x v="2"/>
    <x v="3"/>
    <x v="1"/>
    <s v="Festive Campaign"/>
    <s v="Organic"/>
    <n v="70660"/>
    <n v="56243"/>
    <n v="36437"/>
    <n v="1541"/>
    <n v="212"/>
    <n v="163"/>
    <n v="214"/>
    <n v="360"/>
    <n v="20854"/>
    <n v="2130"/>
    <n v="5.85"/>
    <n v="9.8800669648983173E-3"/>
  </r>
  <r>
    <s v="GN20250077"/>
    <d v="2025-02-16T00:00:00"/>
    <x v="2"/>
    <x v="1"/>
    <x v="2"/>
    <s v="Summer Campaign"/>
    <s v="Organic"/>
    <n v="68624"/>
    <n v="26876"/>
    <n v="24048"/>
    <n v="1117"/>
    <n v="152"/>
    <n v="199"/>
    <n v="338"/>
    <n v="234"/>
    <m/>
    <n v="1806"/>
    <n v="7.51"/>
    <n v="9.730538922155689E-3"/>
  </r>
  <r>
    <s v="GN20250078"/>
    <d v="2025-02-16T00:00:00"/>
    <x v="1"/>
    <x v="2"/>
    <x v="2"/>
    <s v="Summer Campaign"/>
    <s v="Organic"/>
    <n v="82011"/>
    <n v="50783"/>
    <n v="34024"/>
    <n v="508"/>
    <n v="85"/>
    <n v="56"/>
    <m/>
    <n v="130"/>
    <m/>
    <n v="726"/>
    <n v="2.13"/>
    <n v="3.82083235363273E-3"/>
  </r>
  <r>
    <s v="GN20250079"/>
    <d v="2025-02-17T00:00:00"/>
    <x v="1"/>
    <x v="3"/>
    <x v="4"/>
    <s v="Festive Campaign"/>
    <s v="Organic"/>
    <n v="82146"/>
    <n v="76051"/>
    <n v="61587"/>
    <n v="1685"/>
    <n v="261"/>
    <n v="302"/>
    <n v="788"/>
    <n v="340"/>
    <n v="50856"/>
    <n v="3036"/>
    <n v="4.93"/>
    <n v="5.5206455907902642E-3"/>
  </r>
  <r>
    <s v="GN20250080"/>
    <d v="2025-02-18T00:00:00"/>
    <x v="2"/>
    <x v="1"/>
    <x v="1"/>
    <s v="Community Week"/>
    <s v="Organic"/>
    <n v="68727"/>
    <n v="42618"/>
    <n v="30307"/>
    <n v="1045"/>
    <n v="104"/>
    <n v="93"/>
    <n v="168"/>
    <n v="298"/>
    <m/>
    <n v="1410"/>
    <n v="4.6500000000000004"/>
    <n v="9.832711914739169E-3"/>
  </r>
  <r>
    <s v="GN20250081"/>
    <d v="2025-02-18T00:00:00"/>
    <x v="1"/>
    <x v="2"/>
    <x v="4"/>
    <s v="Festive Campaign"/>
    <s v="Organic"/>
    <n v="81270"/>
    <n v="43013"/>
    <n v="30711"/>
    <n v="541"/>
    <n v="90"/>
    <n v="86"/>
    <n v="88"/>
    <n v="134"/>
    <m/>
    <n v="805"/>
    <n v="2.62"/>
    <n v="4.363257464752043E-3"/>
  </r>
  <r>
    <s v="GN20250082"/>
    <d v="2025-02-19T00:00:00"/>
    <x v="1"/>
    <x v="0"/>
    <x v="2"/>
    <s v="Always On"/>
    <s v="Organic"/>
    <n v="84629"/>
    <n v="31987"/>
    <n v="24013"/>
    <n v="269"/>
    <n v="35"/>
    <n v="30"/>
    <n v="21"/>
    <n v="128"/>
    <m/>
    <n v="355"/>
    <n v="1.48"/>
    <n v="5.3304460084121104E-3"/>
  </r>
  <r>
    <s v="GN20250083"/>
    <d v="2025-02-19T00:00:00"/>
    <x v="1"/>
    <x v="2"/>
    <x v="3"/>
    <s v="Festive Campaign"/>
    <s v="Organic"/>
    <n v="84053"/>
    <n v="47659"/>
    <n v="35140"/>
    <n v="334"/>
    <n v="51"/>
    <n v="51"/>
    <n v="73"/>
    <n v="214"/>
    <m/>
    <n v="509"/>
    <n v="1.45"/>
    <n v="6.0899260102447355E-3"/>
  </r>
  <r>
    <s v="GN20250084"/>
    <d v="2025-02-20T00:00:00"/>
    <x v="0"/>
    <x v="3"/>
    <x v="3"/>
    <s v="Always On"/>
    <s v="Organic"/>
    <n v="32747"/>
    <n v="9482"/>
    <n v="8022"/>
    <n v="277"/>
    <n v="30"/>
    <n v="28"/>
    <n v="96"/>
    <n v="128"/>
    <n v="4498"/>
    <n v="431"/>
    <n v="5.37"/>
    <n v="1.5956120668162554E-2"/>
  </r>
  <r>
    <s v="GN20250085"/>
    <d v="2025-02-21T00:00:00"/>
    <x v="2"/>
    <x v="0"/>
    <x v="4"/>
    <s v="New Launch"/>
    <s v="Organic"/>
    <n v="69951"/>
    <n v="30217"/>
    <n v="22384"/>
    <n v="600"/>
    <n v="95"/>
    <n v="102"/>
    <n v="124"/>
    <n v="332"/>
    <m/>
    <n v="921"/>
    <n v="4.1100000000000003"/>
    <n v="1.4832022873481059E-2"/>
  </r>
  <r>
    <s v="GN20250086"/>
    <d v="2025-02-21T00:00:00"/>
    <x v="2"/>
    <x v="1"/>
    <x v="4"/>
    <s v="Community Week"/>
    <s v="Paid"/>
    <n v="68021"/>
    <n v="60792"/>
    <n v="45847"/>
    <n v="1873"/>
    <n v="249"/>
    <n v="307"/>
    <n v="746"/>
    <n v="710"/>
    <m/>
    <n v="3175"/>
    <n v="6.93"/>
    <n v="1.5486291360394356E-2"/>
  </r>
  <r>
    <s v="GN20250087"/>
    <d v="2025-02-22T00:00:00"/>
    <x v="1"/>
    <x v="1"/>
    <x v="1"/>
    <s v="Festive Campaign"/>
    <s v="Organic"/>
    <n v="83712"/>
    <n v="49044"/>
    <n v="43911"/>
    <n v="564"/>
    <n v="84"/>
    <n v="86"/>
    <n v="7"/>
    <n v="134"/>
    <m/>
    <n v="741"/>
    <n v="1.69"/>
    <n v="3.0516271549270117E-3"/>
  </r>
  <r>
    <s v="GN20250088"/>
    <d v="2025-02-22T00:00:00"/>
    <x v="2"/>
    <x v="2"/>
    <x v="3"/>
    <s v="Always On"/>
    <s v="Organic"/>
    <n v="72594"/>
    <n v="18898"/>
    <n v="15994"/>
    <n v="535"/>
    <n v="56"/>
    <n v="69"/>
    <n v="80"/>
    <n v="207"/>
    <m/>
    <n v="740"/>
    <n v="4.63"/>
    <n v="1.2942353382518444E-2"/>
  </r>
  <r>
    <s v="GN20250089"/>
    <d v="2025-02-23T00:00:00"/>
    <x v="2"/>
    <x v="0"/>
    <x v="1"/>
    <s v="Summer Campaign"/>
    <s v="Organic"/>
    <n v="70379"/>
    <n v="21326"/>
    <n v="15417"/>
    <n v="325"/>
    <n v="38"/>
    <n v="35"/>
    <n v="46"/>
    <n v="119"/>
    <m/>
    <n v="444"/>
    <n v="2.88"/>
    <n v="7.7187520269832001E-3"/>
  </r>
  <r>
    <s v="GN20250090"/>
    <d v="2025-02-24T00:00:00"/>
    <x v="1"/>
    <x v="1"/>
    <x v="0"/>
    <s v="Always On"/>
    <s v="Organic"/>
    <n v="82078"/>
    <n v="38529"/>
    <n v="27679"/>
    <n v="439"/>
    <n v="69"/>
    <n v="69"/>
    <n v="7"/>
    <n v="109"/>
    <m/>
    <n v="584"/>
    <n v="2.11"/>
    <n v="3.9380035405903397E-3"/>
  </r>
  <r>
    <s v="GN20250091"/>
    <d v="2025-02-24T00:00:00"/>
    <x v="1"/>
    <x v="0"/>
    <x v="4"/>
    <s v="Always On"/>
    <s v="Organic"/>
    <n v="82620"/>
    <n v="41568"/>
    <n v="29100"/>
    <n v="535"/>
    <n v="75"/>
    <n v="53"/>
    <n v="85"/>
    <n v="199"/>
    <m/>
    <n v="748"/>
    <n v="2.57"/>
    <n v="6.8384879725085909E-3"/>
  </r>
  <r>
    <s v="GN20250092"/>
    <d v="2025-02-25T00:00:00"/>
    <x v="1"/>
    <x v="0"/>
    <x v="1"/>
    <s v="Community Week"/>
    <s v="Organic"/>
    <n v="82252"/>
    <n v="50698"/>
    <n v="36720"/>
    <n v="338"/>
    <n v="42"/>
    <n v="31"/>
    <n v="38"/>
    <n v="118"/>
    <m/>
    <n v="449"/>
    <n v="1.22"/>
    <n v="3.2135076252723313E-3"/>
  </r>
  <r>
    <s v="GN20250093"/>
    <d v="2025-02-25T00:00:00"/>
    <x v="2"/>
    <x v="3"/>
    <x v="0"/>
    <s v="Summer Campaign"/>
    <s v="Organic"/>
    <n v="69079"/>
    <n v="37951"/>
    <n v="24601"/>
    <n v="1477"/>
    <n v="162"/>
    <n v="198"/>
    <n v="243"/>
    <n v="266"/>
    <n v="18539"/>
    <n v="2080"/>
    <n v="8.4499999999999993"/>
    <n v="1.081256859477257E-2"/>
  </r>
  <r>
    <s v="GN20250094"/>
    <d v="2025-02-26T00:00:00"/>
    <x v="2"/>
    <x v="0"/>
    <x v="3"/>
    <s v="Community Week"/>
    <s v="Organic"/>
    <n v="69019"/>
    <n v="25650"/>
    <n v="16953"/>
    <n v="399"/>
    <n v="60"/>
    <n v="48"/>
    <n v="64"/>
    <n v="244"/>
    <m/>
    <n v="571"/>
    <n v="3.37"/>
    <n v="1.439273284964313E-2"/>
  </r>
  <r>
    <s v="GN20250095"/>
    <d v="2025-02-27T00:00:00"/>
    <x v="2"/>
    <x v="3"/>
    <x v="4"/>
    <s v="Community Week"/>
    <s v="Organic"/>
    <n v="68830"/>
    <n v="32929"/>
    <n v="24798"/>
    <n v="1208"/>
    <n v="148"/>
    <n v="180"/>
    <n v="487"/>
    <n v="257"/>
    <n v="14054"/>
    <n v="2023"/>
    <n v="8.16"/>
    <n v="1.0363739011210581E-2"/>
  </r>
  <r>
    <s v="GN20250096"/>
    <d v="2025-02-27T00:00:00"/>
    <x v="1"/>
    <x v="3"/>
    <x v="0"/>
    <s v="Summer Campaign"/>
    <s v="Organic"/>
    <n v="82794"/>
    <n v="50069"/>
    <n v="40146"/>
    <n v="984"/>
    <n v="134"/>
    <n v="92"/>
    <n v="391"/>
    <n v="207"/>
    <n v="23680"/>
    <n v="1601"/>
    <n v="3.99"/>
    <n v="5.156179943207293E-3"/>
  </r>
  <r>
    <s v="GN20250097"/>
    <d v="2025-02-28T00:00:00"/>
    <x v="2"/>
    <x v="3"/>
    <x v="1"/>
    <s v="Always On"/>
    <s v="Organic"/>
    <n v="68838"/>
    <n v="51121"/>
    <n v="33965"/>
    <n v="1087"/>
    <n v="146"/>
    <n v="161"/>
    <n v="180"/>
    <n v="236"/>
    <n v="21145"/>
    <n v="1574"/>
    <n v="4.63"/>
    <n v="6.9483291623730313E-3"/>
  </r>
  <r>
    <s v="GN20250098"/>
    <d v="2025-02-28T00:00:00"/>
    <x v="2"/>
    <x v="3"/>
    <x v="4"/>
    <s v="Festive Campaign"/>
    <s v="Organic"/>
    <n v="70139"/>
    <n v="36340"/>
    <n v="26210"/>
    <n v="2005"/>
    <n v="222"/>
    <n v="219"/>
    <n v="422"/>
    <n v="258"/>
    <n v="22065"/>
    <n v="2868"/>
    <n v="10.94"/>
    <n v="9.8435711560473094E-3"/>
  </r>
  <r>
    <s v="GN20250099"/>
    <d v="2025-03-01T00:00:00"/>
    <x v="2"/>
    <x v="2"/>
    <x v="3"/>
    <s v="New Launch"/>
    <s v="Organic"/>
    <n v="68467"/>
    <n v="26051"/>
    <n v="19508"/>
    <n v="551"/>
    <n v="54"/>
    <n v="58"/>
    <n v="80"/>
    <n v="200"/>
    <m/>
    <n v="743"/>
    <n v="3.81"/>
    <n v="1.0252204223908139E-2"/>
  </r>
  <r>
    <s v="GN20250100"/>
    <d v="2025-03-02T00:00:00"/>
    <x v="0"/>
    <x v="0"/>
    <x v="1"/>
    <s v="Festive Campaign"/>
    <s v="Organic"/>
    <n v="31910"/>
    <n v="6703"/>
    <n v="6141"/>
    <n v="89"/>
    <n v="11"/>
    <n v="10"/>
    <n v="9"/>
    <n v="69"/>
    <m/>
    <n v="119"/>
    <n v="1.94"/>
    <n v="1.1235955056179775E-2"/>
  </r>
  <r>
    <s v="GN20250101"/>
    <d v="2025-03-02T00:00:00"/>
    <x v="2"/>
    <x v="2"/>
    <x v="3"/>
    <s v="New Launch"/>
    <s v="Organic"/>
    <n v="70262"/>
    <n v="27859"/>
    <n v="22544"/>
    <n v="682"/>
    <n v="86"/>
    <n v="100"/>
    <m/>
    <n v="182"/>
    <m/>
    <n v="911"/>
    <n v="4.04"/>
    <n v="8.0731014904187361E-3"/>
  </r>
  <r>
    <s v="GN20250102"/>
    <d v="2025-03-03T00:00:00"/>
    <x v="1"/>
    <x v="3"/>
    <x v="0"/>
    <s v="Community Week"/>
    <s v="Organic"/>
    <n v="82556"/>
    <n v="69304"/>
    <n v="48468"/>
    <n v="1213"/>
    <n v="131"/>
    <n v="140"/>
    <n v="214"/>
    <n v="212"/>
    <n v="26725"/>
    <n v="1698"/>
    <n v="3.5"/>
    <n v="4.3740199719402495E-3"/>
  </r>
  <r>
    <s v="GN20250103"/>
    <d v="2025-03-03T00:00:00"/>
    <x v="1"/>
    <x v="2"/>
    <x v="1"/>
    <s v="Community Week"/>
    <s v="Organic"/>
    <n v="83344"/>
    <n v="44908"/>
    <n v="36861"/>
    <n v="321"/>
    <n v="46"/>
    <n v="41"/>
    <n v="19"/>
    <n v="136"/>
    <m/>
    <n v="427"/>
    <n v="1.1599999999999999"/>
    <n v="3.689536366349258E-3"/>
  </r>
  <r>
    <s v="GN20250104"/>
    <d v="2025-03-04T00:00:00"/>
    <x v="2"/>
    <x v="3"/>
    <x v="1"/>
    <s v="Always On"/>
    <s v="Organic"/>
    <n v="69151"/>
    <n v="36118"/>
    <n v="24730"/>
    <n v="864"/>
    <n v="121"/>
    <n v="160"/>
    <n v="212"/>
    <n v="270"/>
    <n v="19672"/>
    <n v="1357"/>
    <n v="5.49"/>
    <n v="1.0917913465426607E-2"/>
  </r>
  <r>
    <s v="GN20250105"/>
    <d v="2025-03-05T00:00:00"/>
    <x v="2"/>
    <x v="3"/>
    <x v="1"/>
    <s v="New Launch"/>
    <s v="Organic"/>
    <n v="69109"/>
    <n v="29762"/>
    <n v="26455"/>
    <n v="807"/>
    <n v="158"/>
    <n v="81"/>
    <n v="197"/>
    <n v="178"/>
    <n v="17762"/>
    <n v="1243"/>
    <n v="4.7"/>
    <n v="6.7284067284067283E-3"/>
  </r>
  <r>
    <s v="GN20250106"/>
    <d v="2025-03-05T00:00:00"/>
    <x v="2"/>
    <x v="2"/>
    <x v="2"/>
    <s v="Community Week"/>
    <s v="Organic"/>
    <n v="68556"/>
    <n v="22195"/>
    <n v="17981"/>
    <n v="585"/>
    <n v="90"/>
    <n v="100"/>
    <n v="82"/>
    <n v="169"/>
    <m/>
    <n v="857"/>
    <n v="4.7699999999999996"/>
    <n v="9.3988098548467829E-3"/>
  </r>
  <r>
    <s v="GN20250107"/>
    <d v="2025-03-06T00:00:00"/>
    <x v="2"/>
    <x v="1"/>
    <x v="0"/>
    <s v="Festive Campaign"/>
    <s v="Paid"/>
    <n v="71483"/>
    <n v="53522"/>
    <n v="36855"/>
    <n v="1441"/>
    <n v="202"/>
    <n v="238"/>
    <n v="292"/>
    <n v="501"/>
    <m/>
    <n v="2173"/>
    <n v="5.9"/>
    <n v="1.3593813593813594E-2"/>
  </r>
  <r>
    <s v="GN20250108"/>
    <d v="2025-03-07T00:00:00"/>
    <x v="2"/>
    <x v="1"/>
    <x v="1"/>
    <s v="New Launch"/>
    <s v="Organic"/>
    <n v="69339"/>
    <n v="32389"/>
    <n v="25908"/>
    <n v="595"/>
    <n v="64"/>
    <n v="88"/>
    <n v="93"/>
    <n v="195"/>
    <m/>
    <n v="840"/>
    <n v="3.24"/>
    <n v="7.5266327003242241E-3"/>
  </r>
  <r>
    <s v="GN20250109"/>
    <d v="2025-03-07T00:00:00"/>
    <x v="0"/>
    <x v="0"/>
    <x v="1"/>
    <s v="Festive Campaign"/>
    <s v="Organic"/>
    <n v="35040"/>
    <n v="10021"/>
    <n v="8491"/>
    <n v="127"/>
    <n v="20"/>
    <n v="19"/>
    <n v="3"/>
    <n v="121"/>
    <m/>
    <n v="169"/>
    <n v="1.99"/>
    <n v="1.425038275821458E-2"/>
  </r>
  <r>
    <s v="GN20250110"/>
    <d v="2025-03-08T00:00:00"/>
    <x v="2"/>
    <x v="1"/>
    <x v="2"/>
    <s v="Summer Campaign"/>
    <s v="Organic"/>
    <n v="70059"/>
    <n v="33316"/>
    <n v="22647"/>
    <n v="952"/>
    <n v="152"/>
    <n v="116"/>
    <n v="205"/>
    <n v="244"/>
    <m/>
    <n v="1425"/>
    <n v="6.29"/>
    <n v="1.0774053958581711E-2"/>
  </r>
  <r>
    <s v="GN20250111"/>
    <d v="2025-03-08T00:00:00"/>
    <x v="1"/>
    <x v="2"/>
    <x v="4"/>
    <s v="Community Week"/>
    <s v="Organic"/>
    <n v="84206"/>
    <n v="42591"/>
    <n v="34862"/>
    <n v="611"/>
    <n v="73"/>
    <n v="82"/>
    <n v="110"/>
    <n v="166"/>
    <m/>
    <n v="876"/>
    <n v="2.5099999999999998"/>
    <n v="4.7616315759279448E-3"/>
  </r>
  <r>
    <s v="GN20250112"/>
    <d v="2025-03-09T00:00:00"/>
    <x v="1"/>
    <x v="0"/>
    <x v="0"/>
    <s v="Community Week"/>
    <s v="Organic"/>
    <n v="83026"/>
    <n v="37174"/>
    <n v="27174"/>
    <n v="350"/>
    <n v="46"/>
    <n v="47"/>
    <n v="58"/>
    <n v="174"/>
    <m/>
    <n v="501"/>
    <n v="1.84"/>
    <n v="6.4031795098255682E-3"/>
  </r>
  <r>
    <s v="GN20250113"/>
    <d v="2025-03-10T00:00:00"/>
    <x v="2"/>
    <x v="3"/>
    <x v="1"/>
    <s v="New Launch"/>
    <s v="Organic"/>
    <n v="70456"/>
    <n v="32335"/>
    <n v="29433"/>
    <n v="871"/>
    <n v="98"/>
    <n v="121"/>
    <n v="80"/>
    <n v="254"/>
    <n v="18996"/>
    <n v="1170"/>
    <n v="3.98"/>
    <n v="8.6297693065606629E-3"/>
  </r>
  <r>
    <s v="GN20250114"/>
    <d v="2025-03-10T00:00:00"/>
    <x v="2"/>
    <x v="3"/>
    <x v="2"/>
    <s v="Always On"/>
    <s v="Organic"/>
    <n v="70760"/>
    <n v="30083"/>
    <n v="24559"/>
    <n v="1160"/>
    <n v="159"/>
    <n v="153"/>
    <n v="212"/>
    <n v="159"/>
    <n v="20823"/>
    <n v="1684"/>
    <n v="6.86"/>
    <n v="6.4742049757726293E-3"/>
  </r>
  <r>
    <s v="GN20250115"/>
    <d v="2025-03-11T00:00:00"/>
    <x v="1"/>
    <x v="1"/>
    <x v="2"/>
    <s v="Always On"/>
    <s v="Organic"/>
    <n v="85847"/>
    <n v="51376"/>
    <n v="33402"/>
    <n v="706"/>
    <n v="80"/>
    <n v="77"/>
    <n v="172"/>
    <n v="170"/>
    <m/>
    <n v="1035"/>
    <n v="3.1"/>
    <n v="5.0895155978683913E-3"/>
  </r>
  <r>
    <s v="GN20250116"/>
    <d v="2025-03-11T00:00:00"/>
    <x v="1"/>
    <x v="3"/>
    <x v="0"/>
    <s v="Always On"/>
    <s v="Paid"/>
    <n v="83321"/>
    <n v="83931"/>
    <n v="61290"/>
    <n v="1142"/>
    <n v="157"/>
    <n v="103"/>
    <n v="456"/>
    <n v="281"/>
    <n v="40524"/>
    <n v="1858"/>
    <n v="3.03"/>
    <n v="4.5847609724261711E-3"/>
  </r>
  <r>
    <s v="GN20250117"/>
    <d v="2025-03-12T00:00:00"/>
    <x v="2"/>
    <x v="0"/>
    <x v="1"/>
    <s v="Summer Campaign"/>
    <s v="Organic"/>
    <n v="72480"/>
    <n v="18764"/>
    <n v="16780"/>
    <n v="267"/>
    <n v="47"/>
    <n v="36"/>
    <n v="14"/>
    <n v="174"/>
    <m/>
    <n v="364"/>
    <n v="2.17"/>
    <n v="1.0369487485101312E-2"/>
  </r>
  <r>
    <s v="GN20250118"/>
    <d v="2025-03-13T00:00:00"/>
    <x v="1"/>
    <x v="1"/>
    <x v="0"/>
    <s v="Festive Campaign"/>
    <s v="Organic"/>
    <n v="85585"/>
    <n v="43825"/>
    <n v="40401"/>
    <n v="858"/>
    <n v="114"/>
    <n v="89"/>
    <n v="263"/>
    <n v="162"/>
    <m/>
    <n v="1324"/>
    <n v="3.28"/>
    <n v="4.0098017375807529E-3"/>
  </r>
  <r>
    <s v="GN20250119"/>
    <d v="2025-03-13T00:00:00"/>
    <x v="0"/>
    <x v="2"/>
    <x v="4"/>
    <s v="Always On"/>
    <s v="Organic"/>
    <n v="33140"/>
    <n v="12276"/>
    <n v="8117"/>
    <n v="198"/>
    <n v="24"/>
    <n v="26"/>
    <n v="23"/>
    <n v="106"/>
    <m/>
    <n v="271"/>
    <n v="3.34"/>
    <n v="1.3059011950227916E-2"/>
  </r>
  <r>
    <s v="GN20250120"/>
    <d v="2025-03-14T00:00:00"/>
    <x v="2"/>
    <x v="3"/>
    <x v="1"/>
    <s v="Always On"/>
    <s v="Organic"/>
    <n v="67034"/>
    <n v="41107"/>
    <n v="34831"/>
    <n v="1276"/>
    <n v="138"/>
    <n v="127"/>
    <n v="131"/>
    <n v="300"/>
    <n v="24050"/>
    <n v="1672"/>
    <n v="4.8"/>
    <n v="8.613017139904108E-3"/>
  </r>
  <r>
    <s v="GN20250121"/>
    <d v="2025-03-14T00:00:00"/>
    <x v="0"/>
    <x v="0"/>
    <x v="2"/>
    <s v="Festive Campaign"/>
    <s v="Organic"/>
    <n v="34414"/>
    <n v="6942"/>
    <n v="6056"/>
    <n v="112"/>
    <n v="19"/>
    <n v="12"/>
    <n v="11"/>
    <n v="58"/>
    <m/>
    <n v="154"/>
    <n v="2.54"/>
    <n v="9.5772787318361956E-3"/>
  </r>
  <r>
    <s v="GN20250122"/>
    <d v="2025-03-15T00:00:00"/>
    <x v="2"/>
    <x v="2"/>
    <x v="2"/>
    <s v="Summer Campaign"/>
    <s v="Paid"/>
    <n v="70602"/>
    <n v="53558"/>
    <n v="39695"/>
    <n v="1112"/>
    <n v="105"/>
    <n v="102"/>
    <n v="110"/>
    <n v="360"/>
    <m/>
    <n v="1429"/>
    <n v="3.6"/>
    <n v="9.0691522861821392E-3"/>
  </r>
  <r>
    <s v="GN20250123"/>
    <d v="2025-03-16T00:00:00"/>
    <x v="1"/>
    <x v="1"/>
    <x v="1"/>
    <s v="Summer Campaign"/>
    <s v="Organic"/>
    <n v="87401"/>
    <n v="68942"/>
    <n v="47434"/>
    <n v="555"/>
    <n v="90"/>
    <n v="87"/>
    <n v="39"/>
    <n v="219"/>
    <m/>
    <n v="771"/>
    <n v="1.63"/>
    <n v="4.6169414344141334E-3"/>
  </r>
  <r>
    <s v="GN20250124"/>
    <d v="2025-03-16T00:00:00"/>
    <x v="1"/>
    <x v="1"/>
    <x v="4"/>
    <s v="New Launch"/>
    <s v="Organic"/>
    <n v="84803"/>
    <n v="65605"/>
    <n v="45628"/>
    <n v="1184"/>
    <n v="146"/>
    <n v="110"/>
    <n v="289"/>
    <n v="258"/>
    <m/>
    <n v="1729"/>
    <n v="3.79"/>
    <n v="5.6544227228894541E-3"/>
  </r>
  <r>
    <s v="GN20250125"/>
    <d v="2025-03-17T00:00:00"/>
    <x v="2"/>
    <x v="0"/>
    <x v="1"/>
    <s v="Festive Campaign"/>
    <s v="Paid"/>
    <n v="68434"/>
    <n v="44003"/>
    <n v="29888"/>
    <n v="486"/>
    <n v="57"/>
    <n v="55"/>
    <n v="26"/>
    <n v="306"/>
    <m/>
    <n v="624"/>
    <n v="2.09"/>
    <n v="1.0238222698072804E-2"/>
  </r>
  <r>
    <s v="GN20250126"/>
    <d v="2025-03-17T00:00:00"/>
    <x v="1"/>
    <x v="2"/>
    <x v="3"/>
    <s v="Festive Campaign"/>
    <s v="Paid"/>
    <n v="82123"/>
    <n v="65879"/>
    <n v="50953"/>
    <n v="686"/>
    <n v="98"/>
    <n v="105"/>
    <n v="68"/>
    <n v="294"/>
    <m/>
    <n v="957"/>
    <n v="1.88"/>
    <n v="5.7700233548564359E-3"/>
  </r>
  <r>
    <s v="GN20250127"/>
    <d v="2025-03-18T00:00:00"/>
    <x v="2"/>
    <x v="2"/>
    <x v="4"/>
    <s v="Summer Campaign"/>
    <s v="Organic"/>
    <n v="71604"/>
    <n v="35641"/>
    <n v="30697"/>
    <n v="991"/>
    <n v="119"/>
    <n v="148"/>
    <n v="234"/>
    <n v="421"/>
    <m/>
    <n v="1492"/>
    <n v="4.8600000000000003"/>
    <n v="1.371469524709255E-2"/>
  </r>
  <r>
    <s v="GN20250128"/>
    <d v="2025-03-19T00:00:00"/>
    <x v="1"/>
    <x v="3"/>
    <x v="2"/>
    <s v="New Launch"/>
    <s v="Organic"/>
    <n v="81956"/>
    <n v="70868"/>
    <n v="52158"/>
    <n v="1028"/>
    <n v="194"/>
    <n v="138"/>
    <n v="282"/>
    <n v="154"/>
    <n v="41028"/>
    <n v="1642"/>
    <n v="3.15"/>
    <n v="2.952567199662564E-3"/>
  </r>
  <r>
    <s v="GN20250129"/>
    <d v="2025-03-19T00:00:00"/>
    <x v="2"/>
    <x v="3"/>
    <x v="4"/>
    <s v="Festive Campaign"/>
    <s v="Organic"/>
    <n v="69537"/>
    <n v="35366"/>
    <n v="29541"/>
    <n v="1888"/>
    <n v="278"/>
    <n v="164"/>
    <n v="436"/>
    <n v="416"/>
    <n v="22564"/>
    <n v="2766"/>
    <n v="9.36"/>
    <n v="1.4082123150875056E-2"/>
  </r>
  <r>
    <s v="GN20250130"/>
    <d v="2025-03-20T00:00:00"/>
    <x v="1"/>
    <x v="3"/>
    <x v="2"/>
    <s v="Community Week"/>
    <s v="Paid"/>
    <n v="83552"/>
    <n v="121493"/>
    <n v="85379"/>
    <n v="1444"/>
    <n v="194"/>
    <n v="229"/>
    <n v="114"/>
    <n v="398"/>
    <n v="49546"/>
    <n v="1981"/>
    <n v="2.3199999999999998"/>
    <n v="4.6615678328394573E-3"/>
  </r>
  <r>
    <s v="GN20250131"/>
    <d v="2025-03-20T00:00:00"/>
    <x v="0"/>
    <x v="3"/>
    <x v="3"/>
    <s v="New Launch"/>
    <s v="Organic"/>
    <n v="31664"/>
    <n v="12930"/>
    <n v="9115"/>
    <n v="330"/>
    <n v="56"/>
    <n v="37"/>
    <n v="110"/>
    <n v="163"/>
    <n v="6771"/>
    <n v="533"/>
    <n v="5.85"/>
    <n v="1.7882611080636313E-2"/>
  </r>
  <r>
    <s v="GN20250132"/>
    <d v="2025-03-21T00:00:00"/>
    <x v="2"/>
    <x v="0"/>
    <x v="1"/>
    <s v="New Launch"/>
    <s v="Paid"/>
    <n v="69915"/>
    <n v="41048"/>
    <n v="37478"/>
    <n v="513"/>
    <n v="88"/>
    <n v="68"/>
    <n v="54"/>
    <n v="438"/>
    <m/>
    <n v="723"/>
    <n v="1.93"/>
    <n v="1.1686856289022893E-2"/>
  </r>
  <r>
    <s v="GN20250133"/>
    <d v="2025-03-22T00:00:00"/>
    <x v="1"/>
    <x v="2"/>
    <x v="0"/>
    <s v="Community Week"/>
    <s v="Paid"/>
    <n v="83783"/>
    <n v="77083"/>
    <n v="62080"/>
    <n v="901"/>
    <n v="97"/>
    <n v="125"/>
    <n v="61"/>
    <n v="242"/>
    <m/>
    <n v="1184"/>
    <n v="1.91"/>
    <n v="3.8981958762886598E-3"/>
  </r>
  <r>
    <s v="GN20250134"/>
    <d v="2025-03-22T00:00:00"/>
    <x v="2"/>
    <x v="3"/>
    <x v="1"/>
    <s v="Summer Campaign"/>
    <s v="Organic"/>
    <n v="71012"/>
    <n v="34187"/>
    <n v="26548"/>
    <n v="790"/>
    <n v="97"/>
    <n v="124"/>
    <n v="92"/>
    <n v="186"/>
    <n v="21334"/>
    <n v="1103"/>
    <n v="8.3000000000000007"/>
    <n v="7.0061774898297425E-3"/>
  </r>
  <r>
    <s v="GN20250135"/>
    <d v="2025-03-23T00:00:00"/>
    <x v="2"/>
    <x v="2"/>
    <x v="1"/>
    <s v="Summer Campaign"/>
    <s v="Organic"/>
    <n v="69103"/>
    <n v="28120"/>
    <n v="24267"/>
    <n v="586"/>
    <n v="99"/>
    <n v="57"/>
    <n v="75"/>
    <n v="187"/>
    <m/>
    <n v="817"/>
    <n v="3.37"/>
    <n v="7.7059381052458067E-3"/>
  </r>
  <r>
    <s v="GN20250136"/>
    <d v="2025-03-24T00:00:00"/>
    <x v="1"/>
    <x v="3"/>
    <x v="0"/>
    <s v="New Launch"/>
    <s v="Paid"/>
    <n v="83904"/>
    <n v="82354"/>
    <n v="65603"/>
    <n v="1572"/>
    <n v="278"/>
    <n v="186"/>
    <n v="205"/>
    <n v="382"/>
    <n v="44236"/>
    <n v="2241"/>
    <n v="3.42"/>
    <n v="5.8229044403457159E-3"/>
  </r>
  <r>
    <s v="GN20250137"/>
    <d v="2025-03-24T00:00:00"/>
    <x v="2"/>
    <x v="2"/>
    <x v="3"/>
    <s v="New Launch"/>
    <s v="Organic"/>
    <n v="70142"/>
    <n v="35255"/>
    <n v="23747"/>
    <n v="727"/>
    <n v="121"/>
    <n v="86"/>
    <n v="36"/>
    <n v="288"/>
    <m/>
    <n v="970"/>
    <n v="4.08"/>
    <n v="1.212784772813408E-2"/>
  </r>
  <r>
    <s v="GN20250138"/>
    <d v="2025-03-25T00:00:00"/>
    <x v="2"/>
    <x v="2"/>
    <x v="4"/>
    <s v="Festive Campaign"/>
    <s v="Organic"/>
    <n v="67159"/>
    <n v="38304"/>
    <n v="25874"/>
    <n v="1113"/>
    <n v="164"/>
    <n v="188"/>
    <n v="201"/>
    <n v="268"/>
    <m/>
    <n v="1666"/>
    <n v="6.44"/>
    <n v="1.035788822756435E-2"/>
  </r>
  <r>
    <s v="GN20250139"/>
    <d v="2025-03-25T00:00:00"/>
    <x v="1"/>
    <x v="0"/>
    <x v="3"/>
    <s v="New Launch"/>
    <s v="Organic"/>
    <n v="83320"/>
    <n v="38454"/>
    <n v="25040"/>
    <n v="269"/>
    <n v="45"/>
    <n v="29"/>
    <n v="39"/>
    <n v="118"/>
    <m/>
    <n v="382"/>
    <n v="1.53"/>
    <n v="4.7124600638977637E-3"/>
  </r>
  <r>
    <s v="GN20250140"/>
    <d v="2025-03-26T00:00:00"/>
    <x v="1"/>
    <x v="0"/>
    <x v="1"/>
    <s v="Always On"/>
    <s v="Organic"/>
    <n v="83099"/>
    <n v="44860"/>
    <n v="31871"/>
    <n v="283"/>
    <n v="35"/>
    <n v="29"/>
    <n v="11"/>
    <n v="103"/>
    <m/>
    <n v="358"/>
    <n v="1.1200000000000001"/>
    <n v="3.2317781054877477E-3"/>
  </r>
  <r>
    <s v="GN20250141"/>
    <d v="2025-03-27T00:00:00"/>
    <x v="2"/>
    <x v="1"/>
    <x v="1"/>
    <s v="Always On"/>
    <s v="Organic"/>
    <n v="70266"/>
    <n v="38680"/>
    <n v="30386"/>
    <n v="705"/>
    <n v="122"/>
    <n v="126"/>
    <n v="130"/>
    <n v="325"/>
    <m/>
    <n v="1083"/>
    <n v="3.56"/>
    <n v="1.069571513196867E-2"/>
  </r>
  <r>
    <s v="GN20250142"/>
    <d v="2025-03-27T00:00:00"/>
    <x v="1"/>
    <x v="0"/>
    <x v="4"/>
    <s v="Summer Campaign"/>
    <s v="Organic"/>
    <n v="83986"/>
    <n v="60179"/>
    <n v="39345"/>
    <n v="642"/>
    <n v="84"/>
    <n v="53"/>
    <n v="86"/>
    <n v="271"/>
    <m/>
    <n v="865"/>
    <n v="2.2000000000000002"/>
    <n v="6.8877875206506548E-3"/>
  </r>
  <r>
    <s v="GN20250143"/>
    <d v="2025-03-28T00:00:00"/>
    <x v="1"/>
    <x v="1"/>
    <x v="1"/>
    <s v="New Launch"/>
    <s v="Organic"/>
    <n v="82975"/>
    <n v="49242"/>
    <n v="34962"/>
    <n v="509"/>
    <n v="52"/>
    <n v="67"/>
    <n v="71"/>
    <n v="121"/>
    <m/>
    <n v="699"/>
    <n v="2"/>
    <n v="3.4609004061552542E-3"/>
  </r>
  <r>
    <s v="GN20250144"/>
    <d v="2025-03-28T00:00:00"/>
    <x v="0"/>
    <x v="1"/>
    <x v="4"/>
    <s v="Festive Campaign"/>
    <s v="Organic"/>
    <n v="32218"/>
    <n v="8211"/>
    <n v="6906"/>
    <n v="296"/>
    <n v="50"/>
    <n v="33"/>
    <n v="93"/>
    <n v="133"/>
    <m/>
    <n v="472"/>
    <n v="6.83"/>
    <n v="1.9258615696495802E-2"/>
  </r>
  <r>
    <s v="GN20250145"/>
    <d v="2025-03-29T00:00:00"/>
    <x v="1"/>
    <x v="2"/>
    <x v="4"/>
    <s v="Summer Campaign"/>
    <s v="Organic"/>
    <n v="83826"/>
    <n v="47323"/>
    <n v="40759"/>
    <n v="782"/>
    <n v="131"/>
    <n v="88"/>
    <n v="142"/>
    <n v="159"/>
    <m/>
    <n v="1143"/>
    <n v="2.8"/>
    <n v="3.9009789249000223E-3"/>
  </r>
  <r>
    <s v="GN20250146"/>
    <d v="2025-03-30T00:00:00"/>
    <x v="1"/>
    <x v="3"/>
    <x v="2"/>
    <s v="Summer Campaign"/>
    <s v="Organic"/>
    <n v="85822"/>
    <n v="42402"/>
    <n v="35231"/>
    <n v="683"/>
    <n v="115"/>
    <n v="73"/>
    <n v="94"/>
    <n v="175"/>
    <n v="24513"/>
    <n v="965"/>
    <n v="2.74"/>
    <n v="4.9672163719451622E-3"/>
  </r>
  <r>
    <s v="GN20250147"/>
    <d v="2025-03-30T00:00:00"/>
    <x v="1"/>
    <x v="3"/>
    <x v="2"/>
    <s v="New Launch"/>
    <s v="Organic"/>
    <n v="84648"/>
    <n v="65129"/>
    <n v="51755"/>
    <n v="1189"/>
    <n v="209"/>
    <n v="138"/>
    <n v="212"/>
    <n v="214"/>
    <n v="31804"/>
    <n v="1748"/>
    <n v="3.38"/>
    <n v="4.1348661965027534E-3"/>
  </r>
  <r>
    <s v="GN20250148"/>
    <d v="2025-03-31T00:00:00"/>
    <x v="0"/>
    <x v="1"/>
    <x v="1"/>
    <s v="Summer Campaign"/>
    <s v="Organic"/>
    <n v="32771"/>
    <n v="10435"/>
    <n v="9405"/>
    <n v="178"/>
    <n v="28"/>
    <n v="20"/>
    <n v="22"/>
    <n v="83"/>
    <m/>
    <n v="248"/>
    <n v="2.64"/>
    <n v="8.8250930356193521E-3"/>
  </r>
  <r>
    <s v="GN20250149"/>
    <d v="2025-03-31T00:00:00"/>
    <x v="1"/>
    <x v="3"/>
    <x v="4"/>
    <s v="Summer Campaign"/>
    <s v="Organic"/>
    <n v="81114"/>
    <n v="62522"/>
    <n v="45526"/>
    <n v="1368"/>
    <n v="225"/>
    <n v="202"/>
    <n v="54"/>
    <n v="283"/>
    <n v="28847"/>
    <n v="1849"/>
    <n v="4.0599999999999996"/>
    <n v="6.2162280894433953E-3"/>
  </r>
  <r>
    <s v="GN20250150"/>
    <d v="2025-04-01T00:00:00"/>
    <x v="2"/>
    <x v="1"/>
    <x v="4"/>
    <s v="Festive Campaign"/>
    <s v="Paid"/>
    <n v="69411"/>
    <n v="65596"/>
    <n v="43267"/>
    <n v="1760"/>
    <n v="247"/>
    <n v="161"/>
    <n v="596"/>
    <n v="581"/>
    <m/>
    <n v="2764"/>
    <n v="6.39"/>
    <n v="1.3428247856333926E-2"/>
  </r>
  <r>
    <s v="GN20250151"/>
    <d v="2025-04-02T00:00:00"/>
    <x v="0"/>
    <x v="1"/>
    <x v="4"/>
    <s v="Summer Campaign"/>
    <s v="Organic"/>
    <n v="32880"/>
    <n v="15869"/>
    <n v="11128"/>
    <n v="520"/>
    <n v="76"/>
    <n v="64"/>
    <n v="75"/>
    <n v="187"/>
    <m/>
    <n v="735"/>
    <n v="6.6"/>
    <n v="1.6804457225017971E-2"/>
  </r>
  <r>
    <s v="GN20250152"/>
    <d v="2025-04-02T00:00:00"/>
    <x v="0"/>
    <x v="1"/>
    <x v="2"/>
    <s v="Festive Campaign"/>
    <s v="Paid"/>
    <n v="36601"/>
    <n v="20225"/>
    <n v="14556"/>
    <n v="362"/>
    <n v="48"/>
    <n v="47"/>
    <n v="56"/>
    <n v="139"/>
    <m/>
    <n v="513"/>
    <n v="3.52"/>
    <n v="9.5493267381148664E-3"/>
  </r>
  <r>
    <s v="GN20250153"/>
    <d v="2025-04-03T00:00:00"/>
    <x v="0"/>
    <x v="3"/>
    <x v="3"/>
    <s v="Community Week"/>
    <s v="Organic"/>
    <n v="31677"/>
    <n v="13605"/>
    <n v="10100"/>
    <n v="324"/>
    <n v="38"/>
    <n v="55"/>
    <n v="133"/>
    <n v="148"/>
    <n v="8515"/>
    <n v="550"/>
    <n v="5.45"/>
    <n v="1.4653465346534653E-2"/>
  </r>
  <r>
    <s v="GN20250154"/>
    <d v="2025-04-03T00:00:00"/>
    <x v="1"/>
    <x v="0"/>
    <x v="4"/>
    <s v="Always On"/>
    <s v="Organic"/>
    <n v="84062"/>
    <n v="33380"/>
    <n v="27404"/>
    <n v="394"/>
    <n v="40"/>
    <n v="46"/>
    <n v="43"/>
    <n v="224"/>
    <m/>
    <n v="523"/>
    <n v="1.91"/>
    <n v="8.1739891986571302E-3"/>
  </r>
  <r>
    <s v="GN20250155"/>
    <d v="2025-04-04T00:00:00"/>
    <x v="2"/>
    <x v="3"/>
    <x v="3"/>
    <s v="Always On"/>
    <s v="Paid"/>
    <n v="69352"/>
    <n v="59092"/>
    <n v="47110"/>
    <n v="1768"/>
    <n v="254"/>
    <n v="270"/>
    <n v="55"/>
    <n v="456"/>
    <n v="40519"/>
    <n v="2347"/>
    <n v="4.9800000000000004"/>
    <n v="9.6794735724899175E-3"/>
  </r>
  <r>
    <s v="GN20250156"/>
    <d v="2025-04-05T00:00:00"/>
    <x v="2"/>
    <x v="1"/>
    <x v="1"/>
    <s v="Community Week"/>
    <s v="Paid"/>
    <n v="68717"/>
    <n v="61435"/>
    <n v="42560"/>
    <n v="1057"/>
    <n v="107"/>
    <n v="134"/>
    <n v="86"/>
    <n v="389"/>
    <m/>
    <n v="1384"/>
    <n v="3.25"/>
    <n v="9.1400375939849621E-3"/>
  </r>
  <r>
    <s v="GN20250157"/>
    <d v="2025-04-05T00:00:00"/>
    <x v="1"/>
    <x v="2"/>
    <x v="2"/>
    <s v="New Launch"/>
    <s v="Organic"/>
    <n v="86440"/>
    <n v="40727"/>
    <n v="31665"/>
    <n v="521"/>
    <n v="66"/>
    <n v="66"/>
    <n v="79"/>
    <n v="96"/>
    <m/>
    <n v="732"/>
    <n v="2.31"/>
    <n v="3.0317385125532923E-3"/>
  </r>
  <r>
    <s v="GN20250158"/>
    <d v="2025-04-06T00:00:00"/>
    <x v="1"/>
    <x v="0"/>
    <x v="4"/>
    <s v="New Launch"/>
    <s v="Organic"/>
    <n v="84100"/>
    <n v="56841"/>
    <n v="39944"/>
    <n v="642"/>
    <n v="80"/>
    <n v="56"/>
    <n v="125"/>
    <n v="237"/>
    <m/>
    <n v="903"/>
    <n v="2.2599999999999998"/>
    <n v="5.9333066292809938E-3"/>
  </r>
  <r>
    <s v="GN20250159"/>
    <d v="2025-04-07T00:00:00"/>
    <x v="1"/>
    <x v="0"/>
    <x v="1"/>
    <s v="Summer Campaign"/>
    <s v="Organic"/>
    <n v="86936"/>
    <n v="34514"/>
    <n v="25276"/>
    <n v="226"/>
    <n v="38"/>
    <n v="33"/>
    <n v="12"/>
    <n v="99"/>
    <m/>
    <n v="309"/>
    <n v="1.22"/>
    <n v="3.9167589808514003E-3"/>
  </r>
  <r>
    <s v="GN20250160"/>
    <d v="2025-04-07T00:00:00"/>
    <x v="1"/>
    <x v="0"/>
    <x v="2"/>
    <s v="Summer Campaign"/>
    <s v="Organic"/>
    <n v="84659"/>
    <n v="42265"/>
    <n v="30078"/>
    <n v="313"/>
    <n v="60"/>
    <n v="52"/>
    <n v="27"/>
    <n v="135"/>
    <m/>
    <n v="452"/>
    <n v="1.5"/>
    <n v="4.4883303411131061E-3"/>
  </r>
  <r>
    <s v="GN20250161"/>
    <d v="2025-04-08T00:00:00"/>
    <x v="2"/>
    <x v="0"/>
    <x v="4"/>
    <s v="New Launch"/>
    <s v="Organic"/>
    <n v="69144"/>
    <n v="22417"/>
    <n v="15633"/>
    <n v="503"/>
    <n v="66"/>
    <n v="53"/>
    <n v="150"/>
    <n v="236"/>
    <m/>
    <n v="772"/>
    <n v="4.9400000000000004"/>
    <n v="1.5096270709396788E-2"/>
  </r>
  <r>
    <s v="GN20250162"/>
    <d v="2025-04-08T00:00:00"/>
    <x v="0"/>
    <x v="0"/>
    <x v="2"/>
    <s v="Festive Campaign"/>
    <s v="Organic"/>
    <n v="34097"/>
    <n v="12113"/>
    <n v="7999"/>
    <n v="202"/>
    <n v="22"/>
    <n v="23"/>
    <n v="16"/>
    <n v="96"/>
    <m/>
    <n v="263"/>
    <n v="3.29"/>
    <n v="1.2001500187523441E-2"/>
  </r>
  <r>
    <s v="GN20250163"/>
    <d v="2025-04-09T00:00:00"/>
    <x v="1"/>
    <x v="3"/>
    <x v="4"/>
    <s v="Festive Campaign"/>
    <s v="Paid"/>
    <n v="87519"/>
    <n v="148481"/>
    <n v="96601"/>
    <n v="1896"/>
    <n v="204"/>
    <n v="236"/>
    <n v="1074"/>
    <n v="432"/>
    <n v="60933"/>
    <n v="3410"/>
    <n v="3.53"/>
    <n v="4.4720033954099856E-3"/>
  </r>
  <r>
    <s v="GN20250164"/>
    <d v="2025-04-10T00:00:00"/>
    <x v="2"/>
    <x v="1"/>
    <x v="1"/>
    <s v="Always On"/>
    <s v="Organic"/>
    <n v="69814"/>
    <n v="32621"/>
    <n v="24124"/>
    <n v="571"/>
    <n v="110"/>
    <n v="61"/>
    <n v="107"/>
    <n v="206"/>
    <m/>
    <n v="849"/>
    <n v="3.52"/>
    <n v="8.539214060686454E-3"/>
  </r>
  <r>
    <s v="GN20250165"/>
    <d v="2025-04-10T00:00:00"/>
    <x v="0"/>
    <x v="0"/>
    <x v="1"/>
    <s v="New Launch"/>
    <s v="Organic"/>
    <n v="32036"/>
    <n v="7228"/>
    <n v="6462"/>
    <n v="95"/>
    <n v="12"/>
    <n v="11"/>
    <n v="8"/>
    <n v="76"/>
    <m/>
    <n v="126"/>
    <n v="1.95"/>
    <n v="1.1761064685855771E-2"/>
  </r>
  <r>
    <s v="GN20250166"/>
    <d v="2025-04-11T00:00:00"/>
    <x v="1"/>
    <x v="2"/>
    <x v="4"/>
    <s v="New Launch"/>
    <s v="Organic"/>
    <n v="83425"/>
    <n v="44403"/>
    <n v="31998"/>
    <n v="472"/>
    <n v="56"/>
    <n v="69"/>
    <n v="85"/>
    <n v="164"/>
    <m/>
    <n v="682"/>
    <n v="2.13"/>
    <n v="5.1253203325207827E-3"/>
  </r>
  <r>
    <s v="GN20250167"/>
    <d v="2025-04-11T00:00:00"/>
    <x v="2"/>
    <x v="3"/>
    <x v="2"/>
    <s v="New Launch"/>
    <s v="Organic"/>
    <n v="70814"/>
    <n v="44879"/>
    <n v="33374"/>
    <n v="1691"/>
    <n v="210"/>
    <n v="257"/>
    <n v="533"/>
    <n v="363"/>
    <n v="24768"/>
    <n v="2691"/>
    <n v="8.06"/>
    <n v="1.0876730388925511E-2"/>
  </r>
  <r>
    <s v="GN20250168"/>
    <d v="2025-04-12T00:00:00"/>
    <x v="1"/>
    <x v="0"/>
    <x v="3"/>
    <s v="Summer Campaign"/>
    <s v="Paid"/>
    <n v="84419"/>
    <n v="46343"/>
    <n v="37640"/>
    <n v="347"/>
    <n v="53"/>
    <n v="51"/>
    <n v="19"/>
    <n v="226"/>
    <m/>
    <n v="470"/>
    <n v="1.25"/>
    <n v="6.0042507970244421E-3"/>
  </r>
  <r>
    <s v="GN20250169"/>
    <d v="2025-04-13T00:00:00"/>
    <x v="1"/>
    <x v="0"/>
    <x v="4"/>
    <s v="Festive Campaign"/>
    <s v="Paid"/>
    <n v="84503"/>
    <n v="72089"/>
    <n v="58035"/>
    <n v="901"/>
    <n v="91"/>
    <n v="117"/>
    <n v="119"/>
    <n v="352"/>
    <m/>
    <n v="1228"/>
    <n v="2.12"/>
    <n v="6.06530541914362E-3"/>
  </r>
  <r>
    <s v="GN20250170"/>
    <d v="2025-04-13T00:00:00"/>
    <x v="1"/>
    <x v="3"/>
    <x v="1"/>
    <s v="Community Week"/>
    <s v="Organic"/>
    <n v="85534"/>
    <n v="46937"/>
    <n v="35571"/>
    <n v="547"/>
    <n v="73"/>
    <n v="74"/>
    <n v="105"/>
    <n v="172"/>
    <n v="22117"/>
    <n v="799"/>
    <n v="2.25"/>
    <n v="4.835399623288634E-3"/>
  </r>
  <r>
    <s v="GN20250171"/>
    <d v="2025-04-14T00:00:00"/>
    <x v="2"/>
    <x v="1"/>
    <x v="2"/>
    <s v="Always On"/>
    <s v="Organic"/>
    <n v="72000"/>
    <n v="29183"/>
    <n v="18867"/>
    <n v="761"/>
    <n v="79"/>
    <n v="86"/>
    <n v="153"/>
    <n v="196"/>
    <m/>
    <n v="1079"/>
    <n v="5.72"/>
    <n v="1.0388509036942811E-2"/>
  </r>
  <r>
    <s v="GN20250172"/>
    <d v="2025-04-14T00:00:00"/>
    <x v="0"/>
    <x v="1"/>
    <x v="4"/>
    <s v="Festive Campaign"/>
    <s v="Organic"/>
    <n v="33421"/>
    <n v="15160"/>
    <n v="10378"/>
    <n v="440"/>
    <n v="55"/>
    <n v="67"/>
    <n v="171"/>
    <n v="128"/>
    <m/>
    <n v="733"/>
    <n v="7.06"/>
    <n v="1.2333783002505299E-2"/>
  </r>
  <r>
    <s v="GN20250175"/>
    <d v="2025-04-16T00:00:00"/>
    <x v="0"/>
    <x v="3"/>
    <x v="4"/>
    <s v="New Launch"/>
    <s v="Organic"/>
    <n v="33703"/>
    <n v="20211"/>
    <n v="13519"/>
    <n v="552"/>
    <n v="92"/>
    <n v="74"/>
    <m/>
    <n v="259"/>
    <n v="10349"/>
    <n v="847"/>
    <n v="6.27"/>
    <n v="1.9158221761964644E-2"/>
  </r>
  <r>
    <s v="GN20250176"/>
    <d v="2025-04-17T00:00:00"/>
    <x v="2"/>
    <x v="1"/>
    <x v="1"/>
    <s v="Summer Campaign"/>
    <s v="Paid"/>
    <n v="72607"/>
    <n v="52229"/>
    <n v="45783"/>
    <n v="1005"/>
    <n v="156"/>
    <n v="113"/>
    <n v="39"/>
    <n v="401"/>
    <m/>
    <n v="1313"/>
    <n v="2.87"/>
    <n v="8.7587095646855812E-3"/>
  </r>
  <r>
    <s v="GN20250177"/>
    <d v="2025-04-17T00:00:00"/>
    <x v="1"/>
    <x v="0"/>
    <x v="4"/>
    <s v="Always On"/>
    <s v="Paid"/>
    <n v="85465"/>
    <n v="63522"/>
    <n v="58024"/>
    <n v="595"/>
    <n v="118"/>
    <n v="56"/>
    <n v="159"/>
    <n v="342"/>
    <m/>
    <n v="928"/>
    <n v="1.6"/>
    <n v="5.8941127809182406E-3"/>
  </r>
  <r>
    <s v="GN20250178"/>
    <d v="2025-04-18T00:00:00"/>
    <x v="1"/>
    <x v="2"/>
    <x v="4"/>
    <s v="New Launch"/>
    <s v="Organic"/>
    <n v="86311"/>
    <n v="49018"/>
    <n v="44558"/>
    <n v="577"/>
    <n v="61"/>
    <n v="72"/>
    <n v="176"/>
    <n v="202"/>
    <m/>
    <n v="886"/>
    <n v="1.99"/>
    <n v="4.5334171192602897E-3"/>
  </r>
  <r>
    <s v="GN20250179"/>
    <d v="2025-04-19T00:00:00"/>
    <x v="1"/>
    <x v="2"/>
    <x v="0"/>
    <s v="Always On"/>
    <s v="Organic"/>
    <n v="84280"/>
    <n v="33889"/>
    <n v="26863"/>
    <n v="423"/>
    <n v="43"/>
    <n v="53"/>
    <n v="78"/>
    <n v="135"/>
    <m/>
    <n v="597"/>
    <n v="2.2200000000000002"/>
    <n v="5.0254997580314927E-3"/>
  </r>
  <r>
    <s v="GN20250180"/>
    <d v="2025-04-19T00:00:00"/>
    <x v="1"/>
    <x v="0"/>
    <x v="3"/>
    <s v="Community Week"/>
    <s v="Paid"/>
    <n v="83210"/>
    <n v="47648"/>
    <n v="31528"/>
    <n v="357"/>
    <n v="40"/>
    <n v="32"/>
    <n v="65"/>
    <n v="188"/>
    <m/>
    <n v="494"/>
    <n v="1.57"/>
    <n v="5.962953565085004E-3"/>
  </r>
  <r>
    <s v="GN20250181"/>
    <d v="2025-04-20T00:00:00"/>
    <x v="0"/>
    <x v="0"/>
    <x v="0"/>
    <s v="Summer Campaign"/>
    <s v="Organic"/>
    <n v="33385"/>
    <n v="7809"/>
    <n v="6727"/>
    <n v="146"/>
    <n v="22"/>
    <n v="22"/>
    <n v="18"/>
    <n v="116"/>
    <m/>
    <n v="208"/>
    <n v="3.09"/>
    <n v="1.7243942321986026E-2"/>
  </r>
  <r>
    <s v="GN20250182"/>
    <d v="2025-04-20T00:00:00"/>
    <x v="2"/>
    <x v="1"/>
    <x v="4"/>
    <s v="New Launch"/>
    <s v="Organic"/>
    <n v="72115"/>
    <n v="44086"/>
    <n v="32973"/>
    <n v="1544"/>
    <n v="255"/>
    <n v="264"/>
    <n v="245"/>
    <n v="369"/>
    <m/>
    <n v="2308"/>
    <n v="7"/>
    <n v="1.1190974433627513E-2"/>
  </r>
  <r>
    <s v="GN20250183"/>
    <d v="2025-04-21T00:00:00"/>
    <x v="1"/>
    <x v="0"/>
    <x v="2"/>
    <s v="Summer Campaign"/>
    <s v="Organic"/>
    <n v="84415"/>
    <n v="49020"/>
    <n v="35900"/>
    <n v="456"/>
    <n v="46"/>
    <n v="39"/>
    <n v="52"/>
    <n v="160"/>
    <m/>
    <n v="593"/>
    <n v="1.65"/>
    <n v="4.4568245125348191E-3"/>
  </r>
  <r>
    <s v="GN20250184"/>
    <d v="2025-04-22T00:00:00"/>
    <x v="2"/>
    <x v="3"/>
    <x v="1"/>
    <s v="Summer Campaign"/>
    <s v="Organic"/>
    <n v="69969"/>
    <n v="43833"/>
    <n v="38689"/>
    <n v="934"/>
    <n v="138"/>
    <n v="108"/>
    <n v="273"/>
    <n v="334"/>
    <n v="33781"/>
    <n v="1453"/>
    <n v="3.76"/>
    <n v="8.6329447646617905E-3"/>
  </r>
  <r>
    <s v="GN20250185"/>
    <d v="2025-04-22T00:00:00"/>
    <x v="2"/>
    <x v="2"/>
    <x v="1"/>
    <s v="New Launch"/>
    <s v="Organic"/>
    <n v="68994"/>
    <n v="28659"/>
    <n v="24892"/>
    <n v="411"/>
    <n v="56"/>
    <n v="54"/>
    <n v="60"/>
    <n v="156"/>
    <m/>
    <n v="581"/>
    <n v="2.33"/>
    <n v="6.2670737586373133E-3"/>
  </r>
  <r>
    <s v="GN20250186"/>
    <d v="2025-04-23T00:00:00"/>
    <x v="0"/>
    <x v="0"/>
    <x v="1"/>
    <s v="Community Week"/>
    <s v="Organic"/>
    <n v="33622"/>
    <n v="13025"/>
    <n v="8563"/>
    <n v="104"/>
    <n v="15"/>
    <n v="13"/>
    <n v="10"/>
    <n v="112"/>
    <m/>
    <n v="142"/>
    <n v="1.66"/>
    <n v="1.3079528202732687E-2"/>
  </r>
  <r>
    <s v="GN20250187"/>
    <d v="2025-04-24T00:00:00"/>
    <x v="2"/>
    <x v="3"/>
    <x v="4"/>
    <s v="New Launch"/>
    <s v="Organic"/>
    <n v="71271"/>
    <n v="53216"/>
    <n v="37721"/>
    <n v="2412"/>
    <n v="334"/>
    <n v="336"/>
    <n v="305"/>
    <n v="614"/>
    <n v="32856"/>
    <n v="3387"/>
    <n v="8.98"/>
    <n v="1.6277405158930038E-2"/>
  </r>
  <r>
    <s v="GN20250188"/>
    <d v="2025-04-24T00:00:00"/>
    <x v="0"/>
    <x v="0"/>
    <x v="1"/>
    <s v="Always On"/>
    <s v="Organic"/>
    <n v="33168"/>
    <n v="8551"/>
    <n v="7325"/>
    <n v="105"/>
    <n v="10"/>
    <n v="14"/>
    <n v="4"/>
    <n v="74"/>
    <m/>
    <n v="133"/>
    <n v="1.82"/>
    <n v="1.0102389078498293E-2"/>
  </r>
  <r>
    <s v="GN20250189"/>
    <d v="2025-04-25T00:00:00"/>
    <x v="2"/>
    <x v="2"/>
    <x v="3"/>
    <s v="Festive Campaign"/>
    <s v="Organic"/>
    <n v="66135"/>
    <n v="21934"/>
    <n v="16830"/>
    <n v="638"/>
    <n v="93"/>
    <n v="100"/>
    <n v="35"/>
    <n v="226"/>
    <m/>
    <n v="866"/>
    <n v="5.15"/>
    <n v="1.3428401663695782E-2"/>
  </r>
  <r>
    <s v="GN20250190"/>
    <d v="2025-04-25T00:00:00"/>
    <x v="0"/>
    <x v="3"/>
    <x v="4"/>
    <s v="Community Week"/>
    <s v="Paid"/>
    <n v="32390"/>
    <n v="28000"/>
    <n v="21202"/>
    <n v="780"/>
    <n v="98"/>
    <n v="70"/>
    <n v="180"/>
    <n v="292"/>
    <n v="12702"/>
    <n v="1128"/>
    <n v="5.32"/>
    <n v="1.3772285633430808E-2"/>
  </r>
  <r>
    <s v="GN20250191"/>
    <d v="2025-04-26T00:00:00"/>
    <x v="2"/>
    <x v="3"/>
    <x v="4"/>
    <s v="Summer Campaign"/>
    <s v="Organic"/>
    <n v="71515"/>
    <n v="41510"/>
    <n v="34064"/>
    <n v="2021"/>
    <n v="293"/>
    <n v="313"/>
    <n v="103"/>
    <n v="474"/>
    <n v="25354"/>
    <n v="2730"/>
    <n v="8.01"/>
    <n v="1.3914983560356975E-2"/>
  </r>
  <r>
    <s v="GN20250192"/>
    <d v="2025-04-27T00:00:00"/>
    <x v="2"/>
    <x v="3"/>
    <x v="1"/>
    <s v="Community Week"/>
    <s v="Organic"/>
    <n v="68709"/>
    <n v="37852"/>
    <n v="29879"/>
    <n v="934"/>
    <n v="158"/>
    <n v="79"/>
    <n v="103"/>
    <n v="209"/>
    <n v="21252"/>
    <n v="1274"/>
    <n v="4.26"/>
    <n v="6.9948793466983504E-3"/>
  </r>
  <r>
    <s v="GN20250193"/>
    <d v="2025-04-27T00:00:00"/>
    <x v="0"/>
    <x v="3"/>
    <x v="0"/>
    <s v="Festive Campaign"/>
    <s v="Paid"/>
    <n v="32097"/>
    <n v="29670"/>
    <n v="19192"/>
    <n v="519"/>
    <n v="77"/>
    <n v="77"/>
    <n v="171"/>
    <n v="235"/>
    <n v="13934"/>
    <n v="844"/>
    <n v="4.4000000000000004"/>
    <n v="1.224468528553564E-2"/>
  </r>
  <r>
    <s v="GN20250194"/>
    <d v="2025-04-28T00:00:00"/>
    <x v="2"/>
    <x v="3"/>
    <x v="4"/>
    <s v="New Launch"/>
    <s v="Organic"/>
    <n v="70715"/>
    <n v="51287"/>
    <n v="34566"/>
    <n v="2041"/>
    <n v="240"/>
    <n v="331"/>
    <n v="647"/>
    <n v="409"/>
    <n v="24377"/>
    <n v="3259"/>
    <n v="9.43"/>
    <n v="1.183243649829312E-2"/>
  </r>
  <r>
    <s v="GN20250195"/>
    <d v="2025-04-28T00:00:00"/>
    <x v="1"/>
    <x v="2"/>
    <x v="4"/>
    <s v="New Launch"/>
    <s v="Organic"/>
    <n v="83748"/>
    <n v="31202"/>
    <n v="27040"/>
    <n v="494"/>
    <n v="78"/>
    <n v="59"/>
    <n v="97"/>
    <n v="109"/>
    <m/>
    <n v="728"/>
    <n v="2.69"/>
    <n v="4.0310650887573967E-3"/>
  </r>
  <r>
    <s v="GN20250196"/>
    <d v="2025-04-29T00:00:00"/>
    <x v="1"/>
    <x v="0"/>
    <x v="4"/>
    <s v="Summer Campaign"/>
    <s v="Organic"/>
    <n v="84447"/>
    <n v="53550"/>
    <n v="40611"/>
    <n v="608"/>
    <n v="72"/>
    <n v="73"/>
    <n v="113"/>
    <n v="212"/>
    <m/>
    <n v="866"/>
    <n v="2.13"/>
    <n v="5.2202605205486198E-3"/>
  </r>
  <r>
    <s v="GN20250197"/>
    <d v="2025-04-30T00:00:00"/>
    <x v="2"/>
    <x v="2"/>
    <x v="2"/>
    <s v="Community Week"/>
    <s v="Organic"/>
    <n v="69880"/>
    <n v="27985"/>
    <n v="22992"/>
    <n v="843"/>
    <n v="110"/>
    <n v="93"/>
    <n v="87"/>
    <n v="147"/>
    <m/>
    <n v="1133"/>
    <n v="4.93"/>
    <n v="6.3935281837160752E-3"/>
  </r>
  <r>
    <s v="GN20250198"/>
    <d v="2025-04-30T00:00:00"/>
    <x v="2"/>
    <x v="3"/>
    <x v="1"/>
    <s v="Summer Campaign"/>
    <s v="Organic"/>
    <n v="70394"/>
    <n v="26902"/>
    <n v="23606"/>
    <n v="753"/>
    <n v="115"/>
    <n v="137"/>
    <n v="159"/>
    <n v="197"/>
    <n v="16388"/>
    <n v="1164"/>
    <n v="4.93"/>
    <n v="8.3453359315428279E-3"/>
  </r>
  <r>
    <s v="GN20250199"/>
    <d v="2025-05-01T00:00:00"/>
    <x v="2"/>
    <x v="1"/>
    <x v="1"/>
    <s v="Community Week"/>
    <s v="Organic"/>
    <n v="70749"/>
    <n v="26709"/>
    <n v="23324"/>
    <n v="528"/>
    <n v="95"/>
    <n v="75"/>
    <n v="55"/>
    <n v="204"/>
    <m/>
    <n v="753"/>
    <n v="3.23"/>
    <n v="8.7463556851311956E-3"/>
  </r>
  <r>
    <s v="GN20250200"/>
    <d v="2025-05-01T00:00:00"/>
    <x v="1"/>
    <x v="3"/>
    <x v="0"/>
    <s v="Festive Campaign"/>
    <s v="Organic"/>
    <n v="85618"/>
    <n v="46056"/>
    <n v="40599"/>
    <n v="1073"/>
    <n v="147"/>
    <n v="102"/>
    <n v="213"/>
    <n v="155"/>
    <n v="28740"/>
    <n v="1535"/>
    <n v="3.78"/>
    <n v="3.8178280253208206E-3"/>
  </r>
  <r>
    <s v="GN20250201"/>
    <d v="2025-05-02T00:00:00"/>
    <x v="2"/>
    <x v="0"/>
    <x v="1"/>
    <s v="Summer Campaign"/>
    <s v="Organic"/>
    <n v="71197"/>
    <n v="25871"/>
    <n v="21943"/>
    <n v="469"/>
    <n v="82"/>
    <n v="47"/>
    <n v="41"/>
    <n v="260"/>
    <m/>
    <n v="639"/>
    <n v="2.91"/>
    <n v="1.1848881192179738E-2"/>
  </r>
  <r>
    <s v="GN20250202"/>
    <d v="2025-05-03T00:00:00"/>
    <x v="2"/>
    <x v="1"/>
    <x v="1"/>
    <s v="Always On"/>
    <s v="Organic"/>
    <n v="70767"/>
    <n v="25628"/>
    <n v="19558"/>
    <n v="596"/>
    <n v="107"/>
    <n v="71"/>
    <n v="127"/>
    <n v="130"/>
    <m/>
    <n v="901"/>
    <n v="4.6100000000000003"/>
    <n v="6.6468964106759379E-3"/>
  </r>
  <r>
    <s v="GN20250203"/>
    <d v="2025-05-03T00:00:00"/>
    <x v="2"/>
    <x v="0"/>
    <x v="1"/>
    <s v="Summer Campaign"/>
    <s v="Organic"/>
    <n v="69544"/>
    <n v="33671"/>
    <n v="23853"/>
    <n v="577"/>
    <n v="64"/>
    <n v="87"/>
    <n v="20"/>
    <n v="197"/>
    <m/>
    <n v="748"/>
    <n v="3.14"/>
    <n v="8.2589192135161197E-3"/>
  </r>
  <r>
    <s v="GN20250204"/>
    <d v="2025-05-04T00:00:00"/>
    <x v="0"/>
    <x v="0"/>
    <x v="0"/>
    <s v="Always On"/>
    <s v="Organic"/>
    <n v="32966"/>
    <n v="6011"/>
    <n v="5363"/>
    <n v="124"/>
    <n v="19"/>
    <n v="16"/>
    <n v="23"/>
    <n v="63"/>
    <m/>
    <n v="182"/>
    <n v="3.39"/>
    <n v="1.1747156442289764E-2"/>
  </r>
  <r>
    <s v="GN20250205"/>
    <d v="2025-05-04T00:00:00"/>
    <x v="2"/>
    <x v="1"/>
    <x v="3"/>
    <s v="Community Week"/>
    <s v="Organic"/>
    <n v="69789"/>
    <n v="25595"/>
    <n v="17743"/>
    <n v="555"/>
    <n v="95"/>
    <n v="79"/>
    <n v="147"/>
    <n v="262"/>
    <m/>
    <n v="876"/>
    <n v="4.9400000000000004"/>
    <n v="1.4766386744068083E-2"/>
  </r>
  <r>
    <s v="GN20250206"/>
    <d v="2025-05-05T00:00:00"/>
    <x v="2"/>
    <x v="3"/>
    <x v="3"/>
    <s v="Always On"/>
    <s v="Organic"/>
    <n v="71467"/>
    <n v="40206"/>
    <n v="28228"/>
    <n v="1268"/>
    <n v="208"/>
    <n v="178"/>
    <n v="133"/>
    <n v="351"/>
    <n v="21092"/>
    <n v="1787"/>
    <n v="6.33"/>
    <n v="1.2434462236077654E-2"/>
  </r>
  <r>
    <s v="GN20250207"/>
    <d v="2025-05-06T00:00:00"/>
    <x v="2"/>
    <x v="2"/>
    <x v="0"/>
    <s v="Community Week"/>
    <s v="Organic"/>
    <n v="69373"/>
    <n v="22751"/>
    <n v="16306"/>
    <n v="498"/>
    <n v="61"/>
    <n v="65"/>
    <n v="98"/>
    <n v="120"/>
    <m/>
    <n v="722"/>
    <n v="4.43"/>
    <n v="7.3592542622347599E-3"/>
  </r>
  <r>
    <s v="GN20250208"/>
    <d v="2025-05-06T00:00:00"/>
    <x v="0"/>
    <x v="3"/>
    <x v="2"/>
    <s v="Festive Campaign"/>
    <s v="Organic"/>
    <n v="32478"/>
    <n v="14086"/>
    <n v="12357"/>
    <n v="413"/>
    <n v="72"/>
    <n v="66"/>
    <n v="106"/>
    <n v="115"/>
    <n v="9240"/>
    <n v="657"/>
    <n v="5.32"/>
    <n v="9.3064659707048636E-3"/>
  </r>
  <r>
    <s v="GN20250209"/>
    <d v="2025-05-07T00:00:00"/>
    <x v="2"/>
    <x v="1"/>
    <x v="2"/>
    <s v="Community Week"/>
    <s v="Organic"/>
    <n v="73380"/>
    <n v="35687"/>
    <n v="27851"/>
    <n v="1067"/>
    <n v="121"/>
    <n v="198"/>
    <n v="316"/>
    <n v="317"/>
    <m/>
    <n v="1702"/>
    <n v="6.11"/>
    <n v="1.1381997055761013E-2"/>
  </r>
  <r>
    <s v="GN20250210"/>
    <d v="2025-05-08T00:00:00"/>
    <x v="2"/>
    <x v="3"/>
    <x v="1"/>
    <s v="Always On"/>
    <s v="Organic"/>
    <n v="71668"/>
    <n v="28258"/>
    <n v="24166"/>
    <n v="892"/>
    <n v="175"/>
    <n v="97"/>
    <n v="183"/>
    <n v="156"/>
    <n v="20189"/>
    <n v="1347"/>
    <n v="5.57"/>
    <n v="6.455350492427377E-3"/>
  </r>
  <r>
    <s v="GN20250211"/>
    <d v="2025-05-08T00:00:00"/>
    <x v="2"/>
    <x v="1"/>
    <x v="4"/>
    <s v="Festive Campaign"/>
    <s v="Organic"/>
    <n v="70956"/>
    <n v="31675"/>
    <n v="29020"/>
    <n v="1484"/>
    <n v="177"/>
    <n v="227"/>
    <n v="391"/>
    <n v="298"/>
    <m/>
    <n v="2279"/>
    <n v="7.85"/>
    <n v="1.0268780151619573E-2"/>
  </r>
  <r>
    <s v="GN20250212"/>
    <d v="2025-05-09T00:00:00"/>
    <x v="1"/>
    <x v="1"/>
    <x v="1"/>
    <s v="Summer Campaign"/>
    <s v="Organic"/>
    <n v="86367"/>
    <n v="51971"/>
    <n v="34660"/>
    <n v="360"/>
    <n v="44"/>
    <n v="50"/>
    <n v="18"/>
    <n v="140"/>
    <m/>
    <n v="472"/>
    <n v="1.36"/>
    <n v="4.0392383150605884E-3"/>
  </r>
  <r>
    <s v="GN20250213"/>
    <d v="2025-05-09T00:00:00"/>
    <x v="2"/>
    <x v="3"/>
    <x v="4"/>
    <s v="Community Week"/>
    <s v="Organic"/>
    <n v="73283"/>
    <n v="49876"/>
    <n v="36195"/>
    <n v="2071"/>
    <n v="347"/>
    <n v="308"/>
    <n v="180"/>
    <n v="394"/>
    <n v="20103"/>
    <n v="2906"/>
    <n v="8.0299999999999994"/>
    <n v="1.0885481420085647E-2"/>
  </r>
  <r>
    <s v="GN20250214"/>
    <d v="2025-05-10T00:00:00"/>
    <x v="2"/>
    <x v="2"/>
    <x v="2"/>
    <s v="Festive Campaign"/>
    <s v="Organic"/>
    <n v="69489"/>
    <n v="28250"/>
    <n v="25879"/>
    <n v="908"/>
    <n v="114"/>
    <n v="127"/>
    <n v="46"/>
    <n v="217"/>
    <m/>
    <n v="1195"/>
    <n v="4.62"/>
    <n v="8.3851771706789282E-3"/>
  </r>
  <r>
    <s v="GN20250215"/>
    <d v="2025-05-11T00:00:00"/>
    <x v="2"/>
    <x v="1"/>
    <x v="0"/>
    <s v="New Launch"/>
    <s v="Organic"/>
    <n v="71623"/>
    <n v="23404"/>
    <n v="18649"/>
    <n v="772"/>
    <n v="104"/>
    <n v="126"/>
    <n v="98"/>
    <n v="249"/>
    <m/>
    <n v="1100"/>
    <n v="5.9"/>
    <n v="1.3351922355086063E-2"/>
  </r>
  <r>
    <s v="GN20250216"/>
    <d v="2025-05-11T00:00:00"/>
    <x v="2"/>
    <x v="0"/>
    <x v="1"/>
    <s v="New Launch"/>
    <s v="Organic"/>
    <n v="69053"/>
    <n v="27234"/>
    <n v="18113"/>
    <n v="337"/>
    <n v="51"/>
    <n v="41"/>
    <n v="7"/>
    <n v="192"/>
    <m/>
    <n v="436"/>
    <n v="2.41"/>
    <n v="1.0600121459725059E-2"/>
  </r>
  <r>
    <s v="GN20250217"/>
    <d v="2025-05-12T00:00:00"/>
    <x v="1"/>
    <x v="2"/>
    <x v="0"/>
    <s v="Festive Campaign"/>
    <s v="Organic"/>
    <n v="88031"/>
    <n v="45215"/>
    <n v="37040"/>
    <n v="622"/>
    <n v="78"/>
    <n v="90"/>
    <n v="89"/>
    <n v="153"/>
    <m/>
    <n v="879"/>
    <n v="2.37"/>
    <n v="4.1306695464362851E-3"/>
  </r>
  <r>
    <s v="GN20250218"/>
    <d v="2025-05-12T00:00:00"/>
    <x v="0"/>
    <x v="0"/>
    <x v="4"/>
    <s v="New Launch"/>
    <s v="Organic"/>
    <n v="34510"/>
    <n v="11321"/>
    <n v="8583"/>
    <n v="282"/>
    <n v="34"/>
    <n v="32"/>
    <n v="39"/>
    <n v="129"/>
    <m/>
    <n v="387"/>
    <n v="4.51"/>
    <n v="1.5029709891646278E-2"/>
  </r>
  <r>
    <s v="GN20250219"/>
    <d v="2025-05-13T00:00:00"/>
    <x v="1"/>
    <x v="1"/>
    <x v="3"/>
    <s v="Always On"/>
    <s v="Organic"/>
    <n v="88101"/>
    <n v="51335"/>
    <n v="33312"/>
    <n v="457"/>
    <n v="51"/>
    <n v="77"/>
    <n v="88"/>
    <n v="207"/>
    <m/>
    <n v="673"/>
    <n v="2.02"/>
    <n v="6.2139769452449565E-3"/>
  </r>
  <r>
    <s v="GN20250220"/>
    <d v="2025-05-14T00:00:00"/>
    <x v="1"/>
    <x v="0"/>
    <x v="4"/>
    <s v="Always On"/>
    <s v="Organic"/>
    <n v="85193"/>
    <n v="40047"/>
    <n v="31400"/>
    <n v="574"/>
    <n v="58"/>
    <n v="91"/>
    <n v="68"/>
    <n v="243"/>
    <m/>
    <n v="791"/>
    <n v="2.52"/>
    <n v="7.738853503184713E-3"/>
  </r>
  <r>
    <s v="GN20250221"/>
    <d v="2025-05-14T00:00:00"/>
    <x v="0"/>
    <x v="1"/>
    <x v="2"/>
    <s v="Always On"/>
    <s v="Paid"/>
    <n v="34747"/>
    <n v="23072"/>
    <n v="16790"/>
    <n v="468"/>
    <n v="66"/>
    <n v="59"/>
    <n v="31"/>
    <n v="212"/>
    <m/>
    <n v="624"/>
    <n v="3.72"/>
    <n v="1.262656343061346E-2"/>
  </r>
  <r>
    <s v="GN20250222"/>
    <d v="2025-05-15T00:00:00"/>
    <x v="1"/>
    <x v="2"/>
    <x v="0"/>
    <s v="Summer Campaign"/>
    <s v="Paid"/>
    <n v="86940"/>
    <n v="61245"/>
    <n v="46895"/>
    <n v="558"/>
    <n v="78"/>
    <n v="76"/>
    <n v="49"/>
    <n v="165"/>
    <m/>
    <n v="761"/>
    <n v="1.62"/>
    <n v="3.5184987738564877E-3"/>
  </r>
  <r>
    <s v="GN20250223"/>
    <d v="2025-05-15T00:00:00"/>
    <x v="1"/>
    <x v="3"/>
    <x v="4"/>
    <s v="Summer Campaign"/>
    <s v="Organic"/>
    <n v="86579"/>
    <n v="67829"/>
    <n v="48149"/>
    <n v="1116"/>
    <n v="208"/>
    <n v="196"/>
    <n v="227"/>
    <n v="220"/>
    <n v="34383"/>
    <n v="1747"/>
    <n v="3.63"/>
    <n v="4.5691499304243077E-3"/>
  </r>
  <r>
    <s v="GN20250224"/>
    <d v="2025-05-16T00:00:00"/>
    <x v="0"/>
    <x v="0"/>
    <x v="4"/>
    <s v="Always On"/>
    <s v="Organic"/>
    <n v="34596"/>
    <n v="11088"/>
    <n v="8665"/>
    <n v="219"/>
    <n v="29"/>
    <n v="20"/>
    <n v="71"/>
    <n v="157"/>
    <m/>
    <n v="339"/>
    <n v="3.91"/>
    <n v="1.8118869013271782E-2"/>
  </r>
  <r>
    <s v="GN20250225"/>
    <d v="2025-05-17T00:00:00"/>
    <x v="2"/>
    <x v="2"/>
    <x v="3"/>
    <s v="New Launch"/>
    <s v="Organic"/>
    <n v="71513"/>
    <n v="26836"/>
    <n v="19720"/>
    <n v="664"/>
    <n v="119"/>
    <n v="64"/>
    <n v="142"/>
    <n v="239"/>
    <m/>
    <n v="989"/>
    <n v="5.0199999999999996"/>
    <n v="1.2119675456389452E-2"/>
  </r>
  <r>
    <s v="GN20250226"/>
    <d v="2025-05-17T00:00:00"/>
    <x v="1"/>
    <x v="2"/>
    <x v="4"/>
    <s v="Festive Campaign"/>
    <s v="Organic"/>
    <n v="84924"/>
    <n v="41924"/>
    <n v="33895"/>
    <n v="624"/>
    <n v="77"/>
    <n v="75"/>
    <n v="157"/>
    <n v="192"/>
    <m/>
    <n v="933"/>
    <n v="2.75"/>
    <n v="5.6645522938486501E-3"/>
  </r>
  <r>
    <s v="GN20250227"/>
    <d v="2025-05-18T00:00:00"/>
    <x v="1"/>
    <x v="2"/>
    <x v="0"/>
    <s v="Community Week"/>
    <s v="Paid"/>
    <n v="84991"/>
    <n v="53181"/>
    <n v="46364"/>
    <n v="730"/>
    <n v="79"/>
    <n v="99"/>
    <n v="114"/>
    <n v="248"/>
    <m/>
    <n v="1022"/>
    <n v="2.2000000000000002"/>
    <n v="5.3489776550772151E-3"/>
  </r>
  <r>
    <s v="GN20250228"/>
    <d v="2025-05-18T00:00:00"/>
    <x v="0"/>
    <x v="2"/>
    <x v="1"/>
    <s v="Summer Campaign"/>
    <s v="Organic"/>
    <n v="33685"/>
    <n v="13603"/>
    <n v="8813"/>
    <n v="178"/>
    <n v="18"/>
    <n v="15"/>
    <n v="15"/>
    <n v="89"/>
    <m/>
    <n v="226"/>
    <n v="2.56"/>
    <n v="1.0098717803245207E-2"/>
  </r>
  <r>
    <s v="GN20250229"/>
    <d v="2025-05-19T00:00:00"/>
    <x v="0"/>
    <x v="1"/>
    <x v="0"/>
    <s v="New Launch"/>
    <s v="Organic"/>
    <n v="34501"/>
    <n v="12675"/>
    <n v="10377"/>
    <n v="281"/>
    <n v="32"/>
    <n v="29"/>
    <n v="112"/>
    <n v="126"/>
    <m/>
    <n v="454"/>
    <n v="4.38"/>
    <n v="1.2142237640936688E-2"/>
  </r>
  <r>
    <s v="GN20250230"/>
    <d v="2025-05-20T00:00:00"/>
    <x v="1"/>
    <x v="2"/>
    <x v="1"/>
    <s v="New Launch"/>
    <s v="Organic"/>
    <n v="87006"/>
    <n v="52236"/>
    <n v="42068"/>
    <n v="411"/>
    <n v="65"/>
    <n v="42"/>
    <n v="62"/>
    <n v="128"/>
    <m/>
    <n v="580"/>
    <n v="1.38"/>
    <n v="3.0426927831130549E-3"/>
  </r>
  <r>
    <s v="GN20250231"/>
    <d v="2025-05-20T00:00:00"/>
    <x v="0"/>
    <x v="1"/>
    <x v="1"/>
    <s v="Festive Campaign"/>
    <s v="Organic"/>
    <n v="34477"/>
    <n v="14141"/>
    <n v="9182"/>
    <n v="215"/>
    <n v="27"/>
    <n v="23"/>
    <n v="29"/>
    <n v="117"/>
    <m/>
    <n v="294"/>
    <n v="3.2"/>
    <n v="1.2742321934219125E-2"/>
  </r>
  <r>
    <s v="GN20250232"/>
    <d v="2025-05-21T00:00:00"/>
    <x v="1"/>
    <x v="2"/>
    <x v="1"/>
    <s v="Festive Campaign"/>
    <s v="Organic"/>
    <n v="86400"/>
    <n v="45903"/>
    <n v="40896"/>
    <n v="399"/>
    <n v="51"/>
    <n v="55"/>
    <n v="13"/>
    <n v="160"/>
    <m/>
    <n v="518"/>
    <n v="1.27"/>
    <n v="3.9123630672926448E-3"/>
  </r>
  <r>
    <s v="GN20250233"/>
    <d v="2025-05-21T00:00:00"/>
    <x v="2"/>
    <x v="1"/>
    <x v="4"/>
    <s v="Always On"/>
    <s v="Organic"/>
    <n v="70810"/>
    <n v="38884"/>
    <n v="33357"/>
    <n v="1570"/>
    <n v="224"/>
    <n v="240"/>
    <n v="235"/>
    <n v="422"/>
    <m/>
    <n v="2269"/>
    <n v="6.8"/>
    <n v="1.2651017777378062E-2"/>
  </r>
  <r>
    <s v="GN20250234"/>
    <d v="2025-05-22T00:00:00"/>
    <x v="0"/>
    <x v="1"/>
    <x v="1"/>
    <s v="Always On"/>
    <s v="Organic"/>
    <n v="33768"/>
    <n v="12661"/>
    <n v="8216"/>
    <n v="170"/>
    <n v="26"/>
    <n v="22"/>
    <n v="23"/>
    <n v="106"/>
    <m/>
    <n v="241"/>
    <n v="2.93"/>
    <n v="1.2901655306718598E-2"/>
  </r>
  <r>
    <s v="GN20250235"/>
    <d v="2025-05-23T00:00:00"/>
    <x v="0"/>
    <x v="2"/>
    <x v="0"/>
    <s v="New Launch"/>
    <s v="Organic"/>
    <n v="33775"/>
    <n v="8279"/>
    <n v="5946"/>
    <n v="123"/>
    <n v="13"/>
    <n v="17"/>
    <n v="22"/>
    <n v="72"/>
    <m/>
    <n v="175"/>
    <n v="2.94"/>
    <n v="1.2108980827447022E-2"/>
  </r>
  <r>
    <s v="GN20250236"/>
    <d v="2025-05-23T00:00:00"/>
    <x v="0"/>
    <x v="0"/>
    <x v="4"/>
    <s v="Always On"/>
    <s v="Organic"/>
    <n v="32787"/>
    <n v="8963"/>
    <n v="6035"/>
    <n v="212"/>
    <n v="31"/>
    <n v="19"/>
    <n v="18"/>
    <n v="103"/>
    <m/>
    <n v="280"/>
    <n v="4.6399999999999997"/>
    <n v="1.7067108533554268E-2"/>
  </r>
  <r>
    <s v="GN20250237"/>
    <d v="2025-05-24T00:00:00"/>
    <x v="1"/>
    <x v="3"/>
    <x v="0"/>
    <s v="Festive Campaign"/>
    <s v="Organic"/>
    <n v="87688"/>
    <n v="77616"/>
    <n v="58819"/>
    <n v="1595"/>
    <n v="226"/>
    <n v="155"/>
    <n v="294"/>
    <n v="242"/>
    <n v="49021"/>
    <n v="2270"/>
    <n v="3.86"/>
    <n v="4.114316802393784E-3"/>
  </r>
  <r>
    <s v="GN20250238"/>
    <d v="2025-05-25T00:00:00"/>
    <x v="1"/>
    <x v="3"/>
    <x v="1"/>
    <s v="Community Week"/>
    <s v="Paid"/>
    <n v="87135"/>
    <n v="96870"/>
    <n v="81983"/>
    <n v="970"/>
    <n v="145"/>
    <n v="140"/>
    <n v="212"/>
    <n v="385"/>
    <n v="66777"/>
    <n v="1467"/>
    <n v="1.79"/>
    <n v="4.6960955320005365E-3"/>
  </r>
  <r>
    <s v="GN20250239"/>
    <d v="2025-05-25T00:00:00"/>
    <x v="0"/>
    <x v="2"/>
    <x v="1"/>
    <s v="Summer Campaign"/>
    <s v="Organic"/>
    <n v="34003"/>
    <n v="10561"/>
    <n v="9540"/>
    <n v="128"/>
    <n v="18"/>
    <n v="13"/>
    <n v="21"/>
    <n v="71"/>
    <m/>
    <n v="180"/>
    <n v="1.89"/>
    <n v="7.442348008385744E-3"/>
  </r>
  <r>
    <s v="GN20250240"/>
    <d v="2025-05-26T00:00:00"/>
    <x v="2"/>
    <x v="0"/>
    <x v="4"/>
    <s v="New Launch"/>
    <s v="Organic"/>
    <n v="70184"/>
    <n v="31710"/>
    <n v="22723"/>
    <n v="708"/>
    <n v="102"/>
    <n v="86"/>
    <n v="47"/>
    <n v="294"/>
    <m/>
    <n v="943"/>
    <n v="4.1500000000000004"/>
    <n v="1.2938432425295956E-2"/>
  </r>
  <r>
    <s v="GN20250241"/>
    <d v="2025-05-26T00:00:00"/>
    <x v="1"/>
    <x v="0"/>
    <x v="1"/>
    <s v="Always On"/>
    <s v="Organic"/>
    <n v="82508"/>
    <n v="51000"/>
    <n v="33671"/>
    <n v="273"/>
    <n v="42"/>
    <n v="23"/>
    <n v="13"/>
    <n v="162"/>
    <m/>
    <n v="351"/>
    <n v="1.04"/>
    <n v="4.8112619167829879E-3"/>
  </r>
  <r>
    <s v="GN20250242"/>
    <d v="2025-05-27T00:00:00"/>
    <x v="0"/>
    <x v="2"/>
    <x v="3"/>
    <s v="Summer Campaign"/>
    <s v="Paid"/>
    <n v="31714"/>
    <n v="16380"/>
    <n v="12271"/>
    <n v="235"/>
    <n v="37"/>
    <n v="27"/>
    <n v="34"/>
    <n v="159"/>
    <m/>
    <n v="333"/>
    <n v="2.71"/>
    <n v="1.2957379186700351E-2"/>
  </r>
  <r>
    <s v="GN20250243"/>
    <d v="2025-05-28T00:00:00"/>
    <x v="0"/>
    <x v="0"/>
    <x v="1"/>
    <s v="New Launch"/>
    <s v="Organic"/>
    <n v="35361"/>
    <n v="7237"/>
    <n v="5618"/>
    <n v="89"/>
    <n v="15"/>
    <n v="13"/>
    <n v="3"/>
    <n v="53"/>
    <m/>
    <n v="120"/>
    <n v="2.14"/>
    <n v="9.433962264150943E-3"/>
  </r>
  <r>
    <s v="GN20250244"/>
    <d v="2025-05-28T00:00:00"/>
    <x v="1"/>
    <x v="2"/>
    <x v="2"/>
    <s v="New Launch"/>
    <s v="Organic"/>
    <n v="85000"/>
    <n v="54872"/>
    <n v="39852"/>
    <n v="464"/>
    <n v="77"/>
    <n v="76"/>
    <n v="45"/>
    <n v="114"/>
    <m/>
    <n v="662"/>
    <n v="1.66"/>
    <n v="2.8605841613971697E-3"/>
  </r>
  <r>
    <s v="GN20250245"/>
    <d v="2025-05-29T00:00:00"/>
    <x v="2"/>
    <x v="3"/>
    <x v="3"/>
    <s v="Always On"/>
    <s v="Organic"/>
    <n v="70629"/>
    <n v="39793"/>
    <n v="29304"/>
    <n v="1207"/>
    <n v="128"/>
    <n v="107"/>
    <n v="465"/>
    <n v="376"/>
    <n v="17984"/>
    <n v="1907"/>
    <n v="6.51"/>
    <n v="1.2831012831012831E-2"/>
  </r>
  <r>
    <s v="GN20250246"/>
    <d v="2025-05-29T00:00:00"/>
    <x v="1"/>
    <x v="1"/>
    <x v="4"/>
    <s v="Summer Campaign"/>
    <s v="Organic"/>
    <n v="86369"/>
    <n v="52345"/>
    <n v="35796"/>
    <n v="672"/>
    <n v="119"/>
    <n v="118"/>
    <n v="181"/>
    <n v="232"/>
    <m/>
    <n v="1090"/>
    <n v="3.05"/>
    <n v="6.481171080567661E-3"/>
  </r>
  <r>
    <s v="GN20250247"/>
    <d v="2025-05-30T00:00:00"/>
    <x v="2"/>
    <x v="3"/>
    <x v="4"/>
    <s v="New Launch"/>
    <s v="Paid"/>
    <n v="72265"/>
    <n v="46936"/>
    <n v="41721"/>
    <n v="2086"/>
    <n v="385"/>
    <n v="214"/>
    <n v="965"/>
    <n v="543"/>
    <n v="29002"/>
    <n v="3650"/>
    <n v="8.75"/>
    <n v="1.3015028402962536E-2"/>
  </r>
  <r>
    <s v="GN20250248"/>
    <d v="2025-05-31T00:00:00"/>
    <x v="2"/>
    <x v="1"/>
    <x v="4"/>
    <s v="Always On"/>
    <s v="Paid"/>
    <n v="70707"/>
    <n v="82980"/>
    <n v="53671"/>
    <n v="2562"/>
    <n v="338"/>
    <n v="230"/>
    <n v="627"/>
    <n v="529"/>
    <m/>
    <n v="3757"/>
    <n v="7"/>
    <n v="9.8563470030370217E-3"/>
  </r>
  <r>
    <s v="GN20250249"/>
    <d v="2025-05-31T00:00:00"/>
    <x v="2"/>
    <x v="1"/>
    <x v="2"/>
    <s v="Festive Campaign"/>
    <s v="Organic"/>
    <n v="72580"/>
    <n v="31070"/>
    <n v="20162"/>
    <n v="836"/>
    <n v="156"/>
    <n v="97"/>
    <n v="230"/>
    <n v="210"/>
    <m/>
    <n v="1319"/>
    <n v="6.54"/>
    <n v="1.0415633369705387E-2"/>
  </r>
  <r>
    <s v="GN20250250"/>
    <d v="2025-06-01T00:00:00"/>
    <x v="0"/>
    <x v="2"/>
    <x v="0"/>
    <s v="Festive Campaign"/>
    <s v="Paid"/>
    <n v="32988"/>
    <n v="13464"/>
    <n v="12459"/>
    <n v="301"/>
    <n v="36"/>
    <n v="39"/>
    <n v="52"/>
    <n v="144"/>
    <m/>
    <n v="428"/>
    <n v="3.44"/>
    <n v="1.1557909944618349E-2"/>
  </r>
  <r>
    <s v="GN20250251"/>
    <d v="2025-06-01T00:00:00"/>
    <x v="0"/>
    <x v="2"/>
    <x v="1"/>
    <s v="Summer Campaign"/>
    <s v="Organic"/>
    <n v="34323"/>
    <n v="12492"/>
    <n v="9873"/>
    <n v="133"/>
    <n v="13"/>
    <n v="19"/>
    <n v="14"/>
    <n v="67"/>
    <m/>
    <n v="179"/>
    <n v="1.81"/>
    <n v="6.7861845437050539E-3"/>
  </r>
  <r>
    <s v="GN20250252"/>
    <d v="2025-06-02T00:00:00"/>
    <x v="0"/>
    <x v="1"/>
    <x v="2"/>
    <s v="Always On"/>
    <s v="Organic"/>
    <n v="31924"/>
    <n v="9872"/>
    <n v="8428"/>
    <n v="304"/>
    <n v="41"/>
    <n v="29"/>
    <n v="38"/>
    <n v="84"/>
    <m/>
    <n v="412"/>
    <n v="4.8899999999999997"/>
    <n v="9.9667774086378731E-3"/>
  </r>
  <r>
    <s v="GN20250253"/>
    <d v="2025-06-03T00:00:00"/>
    <x v="2"/>
    <x v="1"/>
    <x v="1"/>
    <s v="Summer Campaign"/>
    <s v="Organic"/>
    <n v="71170"/>
    <n v="32070"/>
    <n v="22133"/>
    <n v="516"/>
    <n v="86"/>
    <n v="71"/>
    <n v="29"/>
    <n v="226"/>
    <m/>
    <n v="702"/>
    <n v="3.17"/>
    <n v="1.0210997153571591E-2"/>
  </r>
  <r>
    <s v="GN20250254"/>
    <d v="2025-06-03T00:00:00"/>
    <x v="0"/>
    <x v="2"/>
    <x v="1"/>
    <s v="Festive Campaign"/>
    <s v="Organic"/>
    <n v="34412"/>
    <n v="10594"/>
    <n v="7548"/>
    <n v="97"/>
    <n v="16"/>
    <n v="10"/>
    <n v="11"/>
    <n v="51"/>
    <m/>
    <n v="134"/>
    <n v="1.78"/>
    <n v="6.7567567567567571E-3"/>
  </r>
  <r>
    <s v="GN20250255"/>
    <d v="2025-06-04T00:00:00"/>
    <x v="1"/>
    <x v="3"/>
    <x v="4"/>
    <s v="Festive Campaign"/>
    <s v="Organic"/>
    <n v="84196"/>
    <n v="58478"/>
    <n v="41593"/>
    <n v="1024"/>
    <n v="201"/>
    <n v="165"/>
    <n v="358"/>
    <n v="205"/>
    <n v="26034"/>
    <n v="1748"/>
    <n v="4.2"/>
    <n v="4.928713966292405E-3"/>
  </r>
  <r>
    <s v="GN20250256"/>
    <d v="2025-06-04T00:00:00"/>
    <x v="2"/>
    <x v="2"/>
    <x v="3"/>
    <s v="Community Week"/>
    <s v="Paid"/>
    <n v="72814"/>
    <n v="32363"/>
    <n v="28381"/>
    <n v="879"/>
    <n v="115"/>
    <n v="86"/>
    <n v="194"/>
    <n v="260"/>
    <m/>
    <n v="1274"/>
    <n v="4.49"/>
    <n v="9.1610584545999078E-3"/>
  </r>
  <r>
    <s v="GN20250257"/>
    <d v="2025-06-05T00:00:00"/>
    <x v="0"/>
    <x v="3"/>
    <x v="4"/>
    <s v="New Launch"/>
    <s v="Organic"/>
    <n v="34637"/>
    <n v="15102"/>
    <n v="11883"/>
    <n v="451"/>
    <n v="49"/>
    <n v="45"/>
    <n v="152"/>
    <n v="206"/>
    <n v="9109"/>
    <n v="697"/>
    <n v="5.87"/>
    <n v="1.7335689640663132E-2"/>
  </r>
  <r>
    <s v="GN20250258"/>
    <d v="2025-06-06T00:00:00"/>
    <x v="1"/>
    <x v="1"/>
    <x v="0"/>
    <s v="Community Week"/>
    <s v="Organic"/>
    <n v="85591"/>
    <n v="46037"/>
    <n v="37799"/>
    <n v="697"/>
    <n v="101"/>
    <n v="94"/>
    <n v="58"/>
    <n v="230"/>
    <m/>
    <n v="950"/>
    <n v="2.5099999999999998"/>
    <n v="6.0848170586523453E-3"/>
  </r>
  <r>
    <s v="GN20250259"/>
    <d v="2025-06-06T00:00:00"/>
    <x v="2"/>
    <x v="3"/>
    <x v="0"/>
    <s v="Summer Campaign"/>
    <s v="Organic"/>
    <n v="72514"/>
    <n v="35803"/>
    <n v="31086"/>
    <n v="1223"/>
    <n v="137"/>
    <n v="187"/>
    <n v="526"/>
    <n v="365"/>
    <n v="18192"/>
    <n v="2073"/>
    <n v="6.67"/>
    <n v="1.1741620021874798E-2"/>
  </r>
  <r>
    <s v="GN20250260"/>
    <d v="2025-06-07T00:00:00"/>
    <x v="0"/>
    <x v="0"/>
    <x v="4"/>
    <s v="Festive Campaign"/>
    <s v="Organic"/>
    <n v="35487"/>
    <n v="13378"/>
    <n v="9527"/>
    <n v="277"/>
    <n v="27"/>
    <n v="41"/>
    <n v="34"/>
    <n v="196"/>
    <m/>
    <n v="379"/>
    <n v="3.98"/>
    <n v="2.0573108008817047E-2"/>
  </r>
  <r>
    <s v="GN20250261"/>
    <d v="2025-06-07T00:00:00"/>
    <x v="2"/>
    <x v="2"/>
    <x v="0"/>
    <s v="Always On"/>
    <s v="Organic"/>
    <n v="73015"/>
    <n v="32514"/>
    <n v="27224"/>
    <n v="1141"/>
    <n v="115"/>
    <n v="109"/>
    <n v="216"/>
    <n v="295"/>
    <m/>
    <n v="1581"/>
    <n v="5.81"/>
    <n v="1.0836027034969145E-2"/>
  </r>
  <r>
    <s v="GN20250262"/>
    <d v="2025-06-08T00:00:00"/>
    <x v="2"/>
    <x v="1"/>
    <x v="1"/>
    <s v="Festive Campaign"/>
    <s v="Organic"/>
    <n v="70956"/>
    <n v="35625"/>
    <n v="27492"/>
    <n v="806"/>
    <n v="129"/>
    <n v="91"/>
    <n v="127"/>
    <n v="300"/>
    <m/>
    <n v="1153"/>
    <n v="4.1900000000000004"/>
    <n v="1.0912265386294195E-2"/>
  </r>
  <r>
    <s v="GN20250263"/>
    <d v="2025-06-09T00:00:00"/>
    <x v="2"/>
    <x v="3"/>
    <x v="0"/>
    <s v="Always On"/>
    <s v="Organic"/>
    <n v="69052"/>
    <n v="48599"/>
    <n v="31925"/>
    <n v="1639"/>
    <n v="264"/>
    <n v="140"/>
    <n v="323"/>
    <n v="253"/>
    <n v="24218"/>
    <n v="2366"/>
    <n v="7.41"/>
    <n v="7.9248238057948311E-3"/>
  </r>
  <r>
    <s v="GN20250264"/>
    <d v="2025-06-09T00:00:00"/>
    <x v="0"/>
    <x v="3"/>
    <x v="3"/>
    <s v="Summer Campaign"/>
    <s v="Organic"/>
    <n v="33749"/>
    <n v="9569"/>
    <n v="7001"/>
    <n v="234"/>
    <n v="40"/>
    <n v="34"/>
    <n v="63"/>
    <n v="83"/>
    <n v="5936"/>
    <n v="371"/>
    <n v="5.3"/>
    <n v="1.185544922153978E-2"/>
  </r>
  <r>
    <s v="GN20250265"/>
    <d v="2025-06-10T00:00:00"/>
    <x v="1"/>
    <x v="2"/>
    <x v="2"/>
    <s v="Festive Campaign"/>
    <s v="Organic"/>
    <n v="86100"/>
    <n v="50052"/>
    <n v="42359"/>
    <n v="463"/>
    <n v="78"/>
    <n v="73"/>
    <n v="59"/>
    <n v="157"/>
    <m/>
    <n v="673"/>
    <n v="1.59"/>
    <n v="3.7064142212988975E-3"/>
  </r>
  <r>
    <s v="GN20250266"/>
    <d v="2025-06-11T00:00:00"/>
    <x v="0"/>
    <x v="0"/>
    <x v="3"/>
    <s v="Summer Campaign"/>
    <s v="Organic"/>
    <n v="33722"/>
    <n v="6062"/>
    <n v="4602"/>
    <n v="94"/>
    <n v="9"/>
    <n v="8"/>
    <n v="15"/>
    <n v="86"/>
    <m/>
    <n v="126"/>
    <n v="2.74"/>
    <n v="1.8687527162103434E-2"/>
  </r>
  <r>
    <s v="GN20250267"/>
    <d v="2025-06-11T00:00:00"/>
    <x v="1"/>
    <x v="3"/>
    <x v="1"/>
    <s v="New Launch"/>
    <s v="Organic"/>
    <n v="84769"/>
    <n v="70168"/>
    <n v="57915"/>
    <n v="890"/>
    <n v="166"/>
    <n v="110"/>
    <n v="131"/>
    <n v="214"/>
    <n v="38592"/>
    <n v="1297"/>
    <n v="2.2400000000000002"/>
    <n v="3.6950703617370283E-3"/>
  </r>
  <r>
    <s v="GN20250268"/>
    <d v="2025-06-12T00:00:00"/>
    <x v="2"/>
    <x v="3"/>
    <x v="1"/>
    <s v="Summer Campaign"/>
    <s v="Organic"/>
    <n v="71999"/>
    <n v="48011"/>
    <n v="34436"/>
    <n v="1300"/>
    <n v="152"/>
    <n v="137"/>
    <n v="188"/>
    <n v="301"/>
    <n v="24971"/>
    <n v="1777"/>
    <n v="5.16"/>
    <n v="8.7408525961203392E-3"/>
  </r>
  <r>
    <s v="GN20250269"/>
    <d v="2025-06-12T00:00:00"/>
    <x v="2"/>
    <x v="3"/>
    <x v="4"/>
    <s v="New Launch"/>
    <s v="Organic"/>
    <n v="72404"/>
    <n v="48892"/>
    <n v="34272"/>
    <n v="2029"/>
    <n v="348"/>
    <n v="264"/>
    <n v="244"/>
    <n v="400"/>
    <n v="30839"/>
    <n v="2885"/>
    <n v="8.42"/>
    <n v="1.1671335200746966E-2"/>
  </r>
  <r>
    <s v="GN20250270"/>
    <d v="2025-06-13T00:00:00"/>
    <x v="0"/>
    <x v="0"/>
    <x v="1"/>
    <s v="Festive Campaign"/>
    <s v="Paid"/>
    <n v="33033"/>
    <n v="17175"/>
    <n v="12522"/>
    <n v="148"/>
    <n v="21"/>
    <n v="15"/>
    <n v="14"/>
    <n v="171"/>
    <m/>
    <n v="198"/>
    <n v="1.58"/>
    <n v="1.3655965500718735E-2"/>
  </r>
  <r>
    <s v="GN20250271"/>
    <d v="2025-06-14T00:00:00"/>
    <x v="2"/>
    <x v="2"/>
    <x v="2"/>
    <s v="New Launch"/>
    <s v="Organic"/>
    <n v="72430"/>
    <n v="25156"/>
    <n v="19092"/>
    <n v="565"/>
    <n v="95"/>
    <n v="68"/>
    <n v="46"/>
    <n v="184"/>
    <m/>
    <n v="774"/>
    <n v="4.05"/>
    <n v="9.6375445212654523E-3"/>
  </r>
  <r>
    <s v="GN20250272"/>
    <d v="2025-06-14T00:00:00"/>
    <x v="0"/>
    <x v="2"/>
    <x v="4"/>
    <s v="Always On"/>
    <s v="Organic"/>
    <n v="32444"/>
    <n v="11877"/>
    <n v="7833"/>
    <n v="200"/>
    <n v="31"/>
    <n v="21"/>
    <n v="15"/>
    <n v="82"/>
    <m/>
    <n v="267"/>
    <n v="3.41"/>
    <n v="1.0468530575769183E-2"/>
  </r>
  <r>
    <s v="GN20250273"/>
    <d v="2025-06-15T00:00:00"/>
    <x v="1"/>
    <x v="2"/>
    <x v="1"/>
    <s v="New Launch"/>
    <s v="Organic"/>
    <n v="84669"/>
    <n v="49196"/>
    <n v="42198"/>
    <n v="315"/>
    <n v="53"/>
    <n v="55"/>
    <n v="38"/>
    <n v="109"/>
    <m/>
    <n v="461"/>
    <n v="1.0900000000000001"/>
    <n v="2.5830608085691265E-3"/>
  </r>
  <r>
    <s v="GN20250274"/>
    <d v="2025-06-15T00:00:00"/>
    <x v="2"/>
    <x v="3"/>
    <x v="4"/>
    <s v="Summer Campaign"/>
    <s v="Organic"/>
    <n v="71148"/>
    <n v="47369"/>
    <n v="36896"/>
    <n v="2522"/>
    <n v="396"/>
    <n v="345"/>
    <n v="242"/>
    <n v="605"/>
    <n v="29116"/>
    <n v="3505"/>
    <n v="9.5"/>
    <n v="1.6397441457068517E-2"/>
  </r>
  <r>
    <s v="GN20250275"/>
    <d v="2025-06-16T00:00:00"/>
    <x v="1"/>
    <x v="0"/>
    <x v="4"/>
    <s v="Summer Campaign"/>
    <s v="Organic"/>
    <n v="86059"/>
    <n v="45489"/>
    <n v="37848"/>
    <n v="672"/>
    <n v="100"/>
    <n v="89"/>
    <n v="41"/>
    <n v="313"/>
    <m/>
    <n v="902"/>
    <n v="2.38"/>
    <n v="8.2699217924328897E-3"/>
  </r>
  <r>
    <s v="GN20250276"/>
    <d v="2025-06-17T00:00:00"/>
    <x v="2"/>
    <x v="1"/>
    <x v="0"/>
    <s v="Festive Campaign"/>
    <s v="Organic"/>
    <n v="70641"/>
    <n v="29691"/>
    <n v="24145"/>
    <n v="896"/>
    <n v="152"/>
    <n v="74"/>
    <n v="73"/>
    <n v="264"/>
    <m/>
    <n v="1195"/>
    <n v="4.95"/>
    <n v="1.0933940774487472E-2"/>
  </r>
  <r>
    <s v="GN20250277"/>
    <d v="2025-06-17T00:00:00"/>
    <x v="2"/>
    <x v="3"/>
    <x v="1"/>
    <s v="Summer Campaign"/>
    <s v="Organic"/>
    <n v="71965"/>
    <n v="32772"/>
    <n v="27146"/>
    <n v="771"/>
    <n v="112"/>
    <n v="127"/>
    <n v="79"/>
    <n v="287"/>
    <n v="18817"/>
    <n v="1089"/>
    <n v="4.01"/>
    <n v="1.0572460030943786E-2"/>
  </r>
  <r>
    <s v="GN20250278"/>
    <d v="2025-06-18T00:00:00"/>
    <x v="2"/>
    <x v="1"/>
    <x v="0"/>
    <s v="Community Week"/>
    <s v="Organic"/>
    <n v="73459"/>
    <n v="36252"/>
    <n v="27770"/>
    <n v="935"/>
    <n v="175"/>
    <n v="147"/>
    <n v="265"/>
    <n v="337"/>
    <m/>
    <n v="1522"/>
    <n v="5.48"/>
    <n v="1.2135397911415196E-2"/>
  </r>
  <r>
    <s v="GN20250279"/>
    <d v="2025-06-18T00:00:00"/>
    <x v="0"/>
    <x v="0"/>
    <x v="4"/>
    <s v="New Launch"/>
    <s v="Organic"/>
    <n v="34683"/>
    <n v="10391"/>
    <n v="8805"/>
    <n v="259"/>
    <n v="27"/>
    <n v="22"/>
    <n v="34"/>
    <n v="162"/>
    <m/>
    <n v="342"/>
    <n v="3.88"/>
    <n v="1.8398637137989778E-2"/>
  </r>
  <r>
    <s v="GN20250280"/>
    <d v="2025-06-19T00:00:00"/>
    <x v="0"/>
    <x v="2"/>
    <x v="3"/>
    <s v="Festive Campaign"/>
    <s v="Paid"/>
    <n v="34502"/>
    <n v="13222"/>
    <n v="11594"/>
    <n v="266"/>
    <n v="42"/>
    <n v="37"/>
    <n v="49"/>
    <n v="117"/>
    <m/>
    <n v="394"/>
    <n v="3.4"/>
    <n v="1.00914265999655E-2"/>
  </r>
  <r>
    <s v="GN20250281"/>
    <d v="2025-06-20T00:00:00"/>
    <x v="1"/>
    <x v="0"/>
    <x v="4"/>
    <s v="Always On"/>
    <s v="Organic"/>
    <n v="89182"/>
    <n v="60710"/>
    <n v="41309"/>
    <n v="764"/>
    <n v="85"/>
    <n v="82"/>
    <n v="102"/>
    <n v="290"/>
    <m/>
    <n v="1033"/>
    <n v="2.5"/>
    <n v="7.0202619283933282E-3"/>
  </r>
  <r>
    <s v="GN20250282"/>
    <d v="2025-06-20T00:00:00"/>
    <x v="2"/>
    <x v="3"/>
    <x v="3"/>
    <s v="Summer Campaign"/>
    <s v="Organic"/>
    <n v="71210"/>
    <n v="32801"/>
    <n v="25010"/>
    <n v="1057"/>
    <n v="143"/>
    <n v="113"/>
    <n v="157"/>
    <n v="329"/>
    <n v="18807"/>
    <n v="1470"/>
    <n v="5.88"/>
    <n v="1.3154738104758097E-2"/>
  </r>
  <r>
    <s v="GN20250283"/>
    <d v="2025-06-21T00:00:00"/>
    <x v="1"/>
    <x v="1"/>
    <x v="3"/>
    <s v="Community Week"/>
    <s v="Organic"/>
    <n v="85552"/>
    <n v="49671"/>
    <n v="33733"/>
    <n v="624"/>
    <n v="114"/>
    <n v="56"/>
    <n v="100"/>
    <n v="188"/>
    <m/>
    <n v="894"/>
    <n v="2.65"/>
    <n v="5.5731776005691755E-3"/>
  </r>
  <r>
    <s v="GN20250284"/>
    <d v="2025-06-21T00:00:00"/>
    <x v="0"/>
    <x v="0"/>
    <x v="2"/>
    <s v="Summer Campaign"/>
    <s v="Organic"/>
    <n v="33128"/>
    <n v="9616"/>
    <n v="7228"/>
    <n v="160"/>
    <n v="17"/>
    <n v="14"/>
    <n v="14"/>
    <n v="82"/>
    <m/>
    <n v="205"/>
    <n v="2.84"/>
    <n v="1.1344770337576093E-2"/>
  </r>
  <r>
    <s v="GN20250285"/>
    <d v="2025-06-22T00:00:00"/>
    <x v="2"/>
    <x v="2"/>
    <x v="4"/>
    <s v="Community Week"/>
    <s v="Organic"/>
    <n v="71823"/>
    <n v="27218"/>
    <n v="22345"/>
    <n v="682"/>
    <n v="88"/>
    <n v="114"/>
    <n v="169"/>
    <n v="211"/>
    <m/>
    <n v="1053"/>
    <n v="4.71"/>
    <n v="9.4428283732378611E-3"/>
  </r>
  <r>
    <s v="GN20250286"/>
    <d v="2025-06-23T00:00:00"/>
    <x v="0"/>
    <x v="0"/>
    <x v="3"/>
    <s v="New Launch"/>
    <s v="Organic"/>
    <n v="34497"/>
    <n v="8313"/>
    <n v="6426"/>
    <n v="139"/>
    <n v="20"/>
    <n v="20"/>
    <n v="19"/>
    <n v="103"/>
    <m/>
    <n v="198"/>
    <n v="3.08"/>
    <n v="1.6028633675692499E-2"/>
  </r>
  <r>
    <s v="GN20250287"/>
    <d v="2025-06-23T00:00:00"/>
    <x v="1"/>
    <x v="3"/>
    <x v="4"/>
    <s v="Always On"/>
    <s v="Organic"/>
    <n v="86222"/>
    <n v="53967"/>
    <n v="41482"/>
    <n v="1114"/>
    <n v="158"/>
    <n v="101"/>
    <n v="229"/>
    <n v="200"/>
    <n v="28870"/>
    <n v="1602"/>
    <n v="3.86"/>
    <n v="4.8213683043247671E-3"/>
  </r>
  <r>
    <s v="GN20250288"/>
    <d v="2025-06-24T00:00:00"/>
    <x v="1"/>
    <x v="2"/>
    <x v="4"/>
    <s v="Always On"/>
    <s v="Organic"/>
    <n v="87431"/>
    <n v="43076"/>
    <n v="32073"/>
    <n v="549"/>
    <n v="100"/>
    <n v="53"/>
    <n v="111"/>
    <n v="134"/>
    <m/>
    <n v="813"/>
    <n v="2.5299999999999998"/>
    <n v="4.1779690082000441E-3"/>
  </r>
  <r>
    <s v="GN20250289"/>
    <d v="2025-06-25T00:00:00"/>
    <x v="0"/>
    <x v="0"/>
    <x v="1"/>
    <s v="Community Week"/>
    <s v="Organic"/>
    <n v="33522"/>
    <n v="10307"/>
    <n v="8121"/>
    <n v="121"/>
    <n v="13"/>
    <n v="11"/>
    <n v="10"/>
    <n v="81"/>
    <m/>
    <n v="155"/>
    <n v="1.91"/>
    <n v="9.9741411156261551E-3"/>
  </r>
  <r>
    <s v="GN20250290"/>
    <d v="2025-06-25T00:00:00"/>
    <x v="2"/>
    <x v="2"/>
    <x v="1"/>
    <s v="Festive Campaign"/>
    <s v="Organic"/>
    <n v="71222"/>
    <n v="19985"/>
    <n v="17680"/>
    <n v="335"/>
    <n v="40"/>
    <n v="47"/>
    <n v="21"/>
    <n v="143"/>
    <m/>
    <n v="443"/>
    <n v="2.5099999999999998"/>
    <n v="8.0882352941176478E-3"/>
  </r>
  <r>
    <s v="GN20250291"/>
    <d v="2025-06-26T00:00:00"/>
    <x v="2"/>
    <x v="0"/>
    <x v="3"/>
    <s v="Summer Campaign"/>
    <s v="Paid"/>
    <n v="72977"/>
    <n v="32551"/>
    <n v="27216"/>
    <n v="911"/>
    <n v="99"/>
    <n v="99"/>
    <n v="70"/>
    <n v="464"/>
    <m/>
    <n v="1179"/>
    <n v="4.33"/>
    <n v="1.7048794826572605E-2"/>
  </r>
  <r>
    <s v="GN20250292"/>
    <d v="2025-06-26T00:00:00"/>
    <x v="1"/>
    <x v="0"/>
    <x v="1"/>
    <s v="Festive Campaign"/>
    <s v="Organic"/>
    <n v="86281"/>
    <n v="41945"/>
    <n v="35009"/>
    <n v="291"/>
    <n v="48"/>
    <n v="38"/>
    <n v="9"/>
    <n v="120"/>
    <m/>
    <n v="386"/>
    <n v="1.1000000000000001"/>
    <n v="3.4276900225656262E-3"/>
  </r>
  <r>
    <s v="GN20250293"/>
    <d v="2025-06-27T00:00:00"/>
    <x v="1"/>
    <x v="0"/>
    <x v="3"/>
    <s v="Festive Campaign"/>
    <s v="Organic"/>
    <n v="88016"/>
    <n v="33496"/>
    <n v="28080"/>
    <n v="285"/>
    <n v="50"/>
    <n v="45"/>
    <n v="7"/>
    <n v="163"/>
    <m/>
    <n v="387"/>
    <n v="1.38"/>
    <n v="5.8048433048433047E-3"/>
  </r>
  <r>
    <s v="GN20250294"/>
    <d v="2025-06-28T00:00:00"/>
    <x v="2"/>
    <x v="1"/>
    <x v="1"/>
    <s v="Always On"/>
    <s v="Organic"/>
    <n v="73915"/>
    <n v="32021"/>
    <n v="22641"/>
    <n v="634"/>
    <n v="74"/>
    <n v="69"/>
    <n v="52"/>
    <n v="175"/>
    <m/>
    <n v="829"/>
    <n v="3.66"/>
    <n v="7.7293405768296452E-3"/>
  </r>
  <r>
    <s v="GN20250295"/>
    <d v="2025-06-28T00:00:00"/>
    <x v="2"/>
    <x v="3"/>
    <x v="0"/>
    <s v="Summer Campaign"/>
    <s v="Organic"/>
    <n v="69224"/>
    <n v="39257"/>
    <n v="26027"/>
    <n v="1151"/>
    <n v="199"/>
    <n v="157"/>
    <n v="187"/>
    <n v="275"/>
    <n v="14838"/>
    <n v="1694"/>
    <n v="6.51"/>
    <n v="1.0565950743458716E-2"/>
  </r>
  <r>
    <s v="GN20250296"/>
    <d v="2025-06-29T00:00:00"/>
    <x v="2"/>
    <x v="2"/>
    <x v="3"/>
    <s v="Summer Campaign"/>
    <s v="Organic"/>
    <n v="73473"/>
    <n v="27220"/>
    <n v="25030"/>
    <n v="837"/>
    <n v="120"/>
    <n v="104"/>
    <n v="204"/>
    <n v="249"/>
    <m/>
    <n v="1265"/>
    <n v="5.05"/>
    <n v="9.9480623252097486E-3"/>
  </r>
  <r>
    <s v="GN20250297"/>
    <d v="2025-06-29T00:00:00"/>
    <x v="1"/>
    <x v="3"/>
    <x v="4"/>
    <s v="Festive Campaign"/>
    <s v="Organic"/>
    <n v="86743"/>
    <n v="74800"/>
    <n v="56763"/>
    <n v="1545"/>
    <n v="197"/>
    <n v="137"/>
    <n v="403"/>
    <n v="408"/>
    <n v="32436"/>
    <n v="2282"/>
    <n v="4.0199999999999996"/>
    <n v="7.1877807726864335E-3"/>
  </r>
  <r>
    <s v="GN20250298"/>
    <d v="2025-06-30T00:00:00"/>
    <x v="2"/>
    <x v="0"/>
    <x v="3"/>
    <s v="Festive Campaign"/>
    <s v="Organic"/>
    <n v="72769"/>
    <n v="19094"/>
    <n v="16952"/>
    <n v="461"/>
    <n v="52"/>
    <n v="72"/>
    <n v="82"/>
    <n v="283"/>
    <m/>
    <n v="667"/>
    <n v="3.93"/>
    <n v="1.6694195375176971E-2"/>
  </r>
  <r>
    <s v="GN20250299"/>
    <d v="2025-07-01T00:00:00"/>
    <x v="0"/>
    <x v="3"/>
    <x v="0"/>
    <s v="Always On"/>
    <s v="Organic"/>
    <n v="34070"/>
    <n v="17797"/>
    <n v="11511"/>
    <n v="389"/>
    <n v="58"/>
    <n v="62"/>
    <n v="131"/>
    <n v="147"/>
    <n v="6714"/>
    <n v="640"/>
    <n v="5.56"/>
    <n v="1.2770393536617148E-2"/>
  </r>
  <r>
    <s v="GN20250300"/>
    <d v="2025-07-01T00:00:00"/>
    <x v="2"/>
    <x v="3"/>
    <x v="3"/>
    <s v="Always On"/>
    <s v="Organic"/>
    <n v="73116"/>
    <n v="40989"/>
    <n v="34965"/>
    <n v="1304"/>
    <n v="194"/>
    <n v="119"/>
    <n v="385"/>
    <n v="471"/>
    <n v="27297"/>
    <n v="2002"/>
    <n v="5.73"/>
    <n v="1.3470613470613471E-2"/>
  </r>
  <r>
    <s v="GN20250301"/>
    <d v="2025-07-02T00:00:00"/>
    <x v="0"/>
    <x v="0"/>
    <x v="3"/>
    <s v="Summer Campaign"/>
    <s v="Paid"/>
    <n v="34308"/>
    <n v="13437"/>
    <n v="12142"/>
    <n v="275"/>
    <n v="48"/>
    <n v="36"/>
    <n v="23"/>
    <n v="155"/>
    <m/>
    <n v="382"/>
    <n v="3.15"/>
    <n v="1.2765606984022402E-2"/>
  </r>
  <r>
    <s v="GN20250302"/>
    <d v="2025-07-02T00:00:00"/>
    <x v="1"/>
    <x v="0"/>
    <x v="4"/>
    <s v="Festive Campaign"/>
    <s v="Organic"/>
    <n v="88970"/>
    <n v="53172"/>
    <n v="42977"/>
    <n v="755"/>
    <n v="121"/>
    <n v="71"/>
    <n v="52"/>
    <n v="245"/>
    <m/>
    <n v="999"/>
    <n v="2.3199999999999998"/>
    <n v="5.7007236428787489E-3"/>
  </r>
  <r>
    <s v="GN20250303"/>
    <d v="2025-07-03T00:00:00"/>
    <x v="1"/>
    <x v="0"/>
    <x v="0"/>
    <s v="Always On"/>
    <s v="Paid"/>
    <n v="85609"/>
    <n v="57320"/>
    <n v="37162"/>
    <n v="347"/>
    <n v="44"/>
    <n v="47"/>
    <n v="72"/>
    <n v="242"/>
    <m/>
    <n v="510"/>
    <n v="1.37"/>
    <n v="6.5120284161239977E-3"/>
  </r>
  <r>
    <s v="GN20250304"/>
    <d v="2025-07-04T00:00:00"/>
    <x v="2"/>
    <x v="0"/>
    <x v="3"/>
    <s v="Community Week"/>
    <s v="Organic"/>
    <n v="69688"/>
    <n v="26703"/>
    <n v="17886"/>
    <n v="452"/>
    <n v="63"/>
    <n v="66"/>
    <n v="27"/>
    <n v="283"/>
    <m/>
    <n v="608"/>
    <n v="3.4"/>
    <n v="1.5822430951582242E-2"/>
  </r>
  <r>
    <s v="GN20250305"/>
    <d v="2025-07-04T00:00:00"/>
    <x v="1"/>
    <x v="3"/>
    <x v="1"/>
    <s v="Summer Campaign"/>
    <s v="Organic"/>
    <n v="85750"/>
    <n v="55215"/>
    <n v="39576"/>
    <n v="656"/>
    <n v="100"/>
    <n v="60"/>
    <n v="90"/>
    <n v="134"/>
    <n v="30683"/>
    <n v="906"/>
    <n v="2.29"/>
    <n v="3.3858904386496868E-3"/>
  </r>
  <r>
    <s v="GN20250306"/>
    <d v="2025-07-05T00:00:00"/>
    <x v="2"/>
    <x v="1"/>
    <x v="2"/>
    <s v="Summer Campaign"/>
    <s v="Organic"/>
    <n v="72385"/>
    <n v="26799"/>
    <n v="23342"/>
    <n v="1056"/>
    <n v="157"/>
    <n v="113"/>
    <n v="139"/>
    <n v="265"/>
    <m/>
    <n v="1465"/>
    <n v="6.28"/>
    <n v="1.1352926056036329E-2"/>
  </r>
  <r>
    <s v="GN20250307"/>
    <d v="2025-07-05T00:00:00"/>
    <x v="1"/>
    <x v="2"/>
    <x v="3"/>
    <s v="New Launch"/>
    <s v="Organic"/>
    <n v="86690"/>
    <n v="40654"/>
    <n v="29016"/>
    <n v="432"/>
    <n v="69"/>
    <n v="38"/>
    <n v="56"/>
    <n v="119"/>
    <m/>
    <n v="595"/>
    <n v="2.0499999999999998"/>
    <n v="4.1011855527984557E-3"/>
  </r>
  <r>
    <s v="GN20250308"/>
    <d v="2025-07-06T00:00:00"/>
    <x v="0"/>
    <x v="1"/>
    <x v="2"/>
    <s v="Summer Campaign"/>
    <s v="Organic"/>
    <n v="34791"/>
    <n v="15582"/>
    <n v="10835"/>
    <n v="385"/>
    <n v="48"/>
    <n v="43"/>
    <n v="88"/>
    <n v="93"/>
    <m/>
    <n v="564"/>
    <n v="5.21"/>
    <n v="8.5832948777111208E-3"/>
  </r>
  <r>
    <s v="GN20250309"/>
    <d v="2025-07-07T00:00:00"/>
    <x v="1"/>
    <x v="0"/>
    <x v="2"/>
    <s v="Community Week"/>
    <s v="Organic"/>
    <n v="86538"/>
    <n v="58874"/>
    <n v="38249"/>
    <n v="604"/>
    <n v="65"/>
    <n v="87"/>
    <n v="43"/>
    <n v="161"/>
    <m/>
    <n v="799"/>
    <n v="2.09"/>
    <n v="4.2092603728202047E-3"/>
  </r>
  <r>
    <s v="GN20250310"/>
    <d v="2025-07-07T00:00:00"/>
    <x v="0"/>
    <x v="3"/>
    <x v="4"/>
    <s v="New Launch"/>
    <s v="Organic"/>
    <n v="31827"/>
    <n v="12008"/>
    <n v="10758"/>
    <n v="440"/>
    <n v="64"/>
    <n v="69"/>
    <n v="236"/>
    <n v="166"/>
    <n v="7030"/>
    <n v="809"/>
    <n v="7.52"/>
    <n v="1.5430377393567578E-2"/>
  </r>
  <r>
    <s v="GN20250311"/>
    <d v="2025-07-08T00:00:00"/>
    <x v="2"/>
    <x v="3"/>
    <x v="4"/>
    <s v="Community Week"/>
    <s v="Organic"/>
    <n v="71794"/>
    <n v="31826"/>
    <n v="27313"/>
    <n v="1402"/>
    <n v="151"/>
    <n v="186"/>
    <n v="452"/>
    <n v="264"/>
    <n v="20019"/>
    <n v="2191"/>
    <n v="8.02"/>
    <n v="9.6657269432138537E-3"/>
  </r>
  <r>
    <s v="GN20250312"/>
    <d v="2025-07-08T00:00:00"/>
    <x v="1"/>
    <x v="3"/>
    <x v="4"/>
    <s v="Festive Campaign"/>
    <s v="Paid"/>
    <n v="86979"/>
    <n v="130622"/>
    <n v="87435"/>
    <n v="1972"/>
    <n v="304"/>
    <n v="323"/>
    <n v="381"/>
    <n v="499"/>
    <n v="78229"/>
    <n v="2980"/>
    <n v="3.41"/>
    <n v="5.7070967004060162E-3"/>
  </r>
  <r>
    <s v="GN20250313"/>
    <d v="2025-07-09T00:00:00"/>
    <x v="2"/>
    <x v="1"/>
    <x v="2"/>
    <s v="Festive Campaign"/>
    <s v="Organic"/>
    <n v="71432"/>
    <n v="29961"/>
    <n v="25951"/>
    <n v="926"/>
    <n v="107"/>
    <n v="112"/>
    <n v="257"/>
    <n v="296"/>
    <m/>
    <n v="1402"/>
    <n v="5.4"/>
    <n v="1.1406111517860583E-2"/>
  </r>
  <r>
    <s v="GN20250314"/>
    <d v="2025-07-10T00:00:00"/>
    <x v="2"/>
    <x v="3"/>
    <x v="0"/>
    <s v="Summer Campaign"/>
    <s v="Organic"/>
    <n v="71555"/>
    <n v="42921"/>
    <n v="36495"/>
    <n v="2065"/>
    <n v="211"/>
    <n v="242"/>
    <n v="572"/>
    <n v="375"/>
    <n v="21358"/>
    <n v="3090"/>
    <n v="8.4700000000000006"/>
    <n v="1.0275380189066995E-2"/>
  </r>
  <r>
    <s v="GN20250315"/>
    <d v="2025-07-10T00:00:00"/>
    <x v="0"/>
    <x v="1"/>
    <x v="4"/>
    <s v="Summer Campaign"/>
    <s v="Paid"/>
    <n v="35252"/>
    <n v="14729"/>
    <n v="12127"/>
    <n v="359"/>
    <n v="67"/>
    <n v="55"/>
    <n v="103"/>
    <n v="182"/>
    <m/>
    <n v="584"/>
    <n v="4.82"/>
    <n v="1.5007833759379896E-2"/>
  </r>
  <r>
    <s v="GN20250316"/>
    <d v="2025-07-11T00:00:00"/>
    <x v="1"/>
    <x v="0"/>
    <x v="4"/>
    <s v="Festive Campaign"/>
    <s v="Organic"/>
    <n v="87314"/>
    <n v="40677"/>
    <n v="31008"/>
    <n v="428"/>
    <n v="65"/>
    <n v="76"/>
    <n v="100"/>
    <n v="253"/>
    <m/>
    <n v="669"/>
    <n v="2.16"/>
    <n v="8.1591847265221878E-3"/>
  </r>
  <r>
    <s v="GN20250317"/>
    <d v="2025-07-12T00:00:00"/>
    <x v="2"/>
    <x v="1"/>
    <x v="4"/>
    <s v="Community Week"/>
    <s v="Paid"/>
    <n v="71548"/>
    <n v="41889"/>
    <n v="36429"/>
    <n v="2126"/>
    <n v="324"/>
    <n v="190"/>
    <n v="303"/>
    <n v="478"/>
    <m/>
    <n v="2943"/>
    <n v="8.08"/>
    <n v="1.3121414257871476E-2"/>
  </r>
  <r>
    <s v="GN20250318"/>
    <d v="2025-07-12T00:00:00"/>
    <x v="2"/>
    <x v="3"/>
    <x v="1"/>
    <s v="Festive Campaign"/>
    <s v="Organic"/>
    <n v="71330"/>
    <n v="46790"/>
    <n v="34241"/>
    <n v="1482"/>
    <n v="144"/>
    <n v="133"/>
    <n v="185"/>
    <n v="233"/>
    <n v="24414"/>
    <n v="1944"/>
    <n v="5.68"/>
    <n v="6.8047078064308866E-3"/>
  </r>
  <r>
    <s v="GN20250319"/>
    <d v="2025-07-13T00:00:00"/>
    <x v="1"/>
    <x v="2"/>
    <x v="4"/>
    <s v="Festive Campaign"/>
    <s v="Organic"/>
    <n v="86635"/>
    <n v="39325"/>
    <n v="35766"/>
    <n v="561"/>
    <n v="94"/>
    <n v="54"/>
    <n v="198"/>
    <n v="140"/>
    <m/>
    <n v="907"/>
    <n v="2.54"/>
    <n v="3.914332047195661E-3"/>
  </r>
  <r>
    <s v="GN20250320"/>
    <d v="2025-07-13T00:00:00"/>
    <x v="2"/>
    <x v="2"/>
    <x v="2"/>
    <s v="Community Week"/>
    <s v="Organic"/>
    <n v="73306"/>
    <n v="23379"/>
    <n v="18869"/>
    <n v="744"/>
    <n v="99"/>
    <n v="125"/>
    <n v="97"/>
    <n v="121"/>
    <m/>
    <n v="1065"/>
    <n v="5.64"/>
    <n v="6.4126344798346498E-3"/>
  </r>
  <r>
    <s v="GN20250321"/>
    <d v="2025-07-14T00:00:00"/>
    <x v="2"/>
    <x v="1"/>
    <x v="4"/>
    <s v="Community Week"/>
    <s v="Organic"/>
    <n v="69832"/>
    <n v="35864"/>
    <n v="23455"/>
    <n v="939"/>
    <n v="127"/>
    <n v="124"/>
    <n v="306"/>
    <n v="347"/>
    <m/>
    <n v="1496"/>
    <n v="6.38"/>
    <n v="1.4794286932423789E-2"/>
  </r>
  <r>
    <s v="GN20250322"/>
    <d v="2025-07-15T00:00:00"/>
    <x v="2"/>
    <x v="1"/>
    <x v="4"/>
    <s v="Community Week"/>
    <s v="Organic"/>
    <n v="72394"/>
    <n v="31709"/>
    <n v="25325"/>
    <n v="1016"/>
    <n v="160"/>
    <n v="177"/>
    <n v="233"/>
    <n v="258"/>
    <m/>
    <n v="1586"/>
    <n v="6.26"/>
    <n v="1.018756169792695E-2"/>
  </r>
  <r>
    <s v="GN20250323"/>
    <d v="2025-07-15T00:00:00"/>
    <x v="1"/>
    <x v="1"/>
    <x v="2"/>
    <s v="Community Week"/>
    <s v="Organic"/>
    <n v="87281"/>
    <n v="44769"/>
    <n v="30286"/>
    <n v="559"/>
    <n v="80"/>
    <n v="84"/>
    <n v="168"/>
    <n v="131"/>
    <m/>
    <n v="891"/>
    <n v="2.94"/>
    <n v="4.325430892161395E-3"/>
  </r>
  <r>
    <s v="GN20250324"/>
    <d v="2025-07-16T00:00:00"/>
    <x v="0"/>
    <x v="0"/>
    <x v="2"/>
    <s v="Summer Campaign"/>
    <s v="Organic"/>
    <n v="32620"/>
    <n v="10136"/>
    <n v="7336"/>
    <n v="187"/>
    <n v="28"/>
    <n v="17"/>
    <n v="19"/>
    <n v="96"/>
    <m/>
    <n v="251"/>
    <n v="3.42"/>
    <n v="1.3086150490730643E-2"/>
  </r>
  <r>
    <s v="GN20250325"/>
    <d v="2025-07-16T00:00:00"/>
    <x v="2"/>
    <x v="3"/>
    <x v="2"/>
    <s v="Festive Campaign"/>
    <s v="Organic"/>
    <n v="74042"/>
    <n v="42568"/>
    <n v="29484"/>
    <n v="1234"/>
    <n v="186"/>
    <n v="159"/>
    <n v="476"/>
    <n v="197"/>
    <n v="17512"/>
    <n v="2055"/>
    <n v="6.97"/>
    <n v="6.6815900149233484E-3"/>
  </r>
  <r>
    <s v="GN20250326"/>
    <d v="2025-07-17T00:00:00"/>
    <x v="0"/>
    <x v="1"/>
    <x v="1"/>
    <s v="Always On"/>
    <s v="Organic"/>
    <n v="33174"/>
    <n v="9372"/>
    <n v="6798"/>
    <n v="145"/>
    <n v="18"/>
    <n v="15"/>
    <n v="29"/>
    <n v="83"/>
    <m/>
    <n v="207"/>
    <n v="3.05"/>
    <n v="1.2209473374521919E-2"/>
  </r>
  <r>
    <s v="GN20250327"/>
    <d v="2025-07-18T00:00:00"/>
    <x v="1"/>
    <x v="1"/>
    <x v="4"/>
    <s v="New Launch"/>
    <s v="Organic"/>
    <n v="87212"/>
    <n v="71923"/>
    <n v="50438"/>
    <n v="1003"/>
    <n v="144"/>
    <n v="167"/>
    <n v="279"/>
    <n v="279"/>
    <m/>
    <n v="1593"/>
    <n v="3.16"/>
    <n v="5.5315436773860976E-3"/>
  </r>
  <r>
    <s v="GN20250328"/>
    <d v="2025-07-18T00:00:00"/>
    <x v="1"/>
    <x v="1"/>
    <x v="1"/>
    <s v="Always On"/>
    <s v="Organic"/>
    <n v="86594"/>
    <n v="55506"/>
    <n v="36696"/>
    <n v="491"/>
    <n v="81"/>
    <n v="48"/>
    <n v="42"/>
    <n v="155"/>
    <m/>
    <n v="662"/>
    <n v="1.8"/>
    <n v="4.2238936123828209E-3"/>
  </r>
  <r>
    <s v="GN20250329"/>
    <d v="2025-07-19T00:00:00"/>
    <x v="2"/>
    <x v="3"/>
    <x v="1"/>
    <s v="Summer Campaign"/>
    <s v="Paid"/>
    <n v="73258"/>
    <n v="83784"/>
    <n v="54997"/>
    <n v="1625"/>
    <n v="276"/>
    <n v="183"/>
    <n v="218"/>
    <n v="524"/>
    <n v="43989"/>
    <n v="2302"/>
    <n v="4.1900000000000004"/>
    <n v="9.5277924250413652E-3"/>
  </r>
  <r>
    <s v="GN20250330"/>
    <d v="2025-07-19T00:00:00"/>
    <x v="0"/>
    <x v="0"/>
    <x v="4"/>
    <s v="Always On"/>
    <s v="Organic"/>
    <n v="35406"/>
    <n v="13542"/>
    <n v="8885"/>
    <n v="210"/>
    <n v="29"/>
    <n v="38"/>
    <n v="42"/>
    <n v="194"/>
    <m/>
    <n v="319"/>
    <n v="3.59"/>
    <n v="2.1834552616769837E-2"/>
  </r>
  <r>
    <s v="GN20250331"/>
    <d v="2025-07-20T00:00:00"/>
    <x v="1"/>
    <x v="0"/>
    <x v="3"/>
    <s v="Community Week"/>
    <s v="Organic"/>
    <n v="88479"/>
    <n v="35895"/>
    <n v="32871"/>
    <n v="453"/>
    <n v="59"/>
    <n v="60"/>
    <n v="53"/>
    <n v="153"/>
    <m/>
    <n v="625"/>
    <n v="1.9"/>
    <n v="4.6545587295792647E-3"/>
  </r>
  <r>
    <s v="GN20250332"/>
    <d v="2025-07-21T00:00:00"/>
    <x v="1"/>
    <x v="3"/>
    <x v="0"/>
    <s v="New Launch"/>
    <s v="Organic"/>
    <n v="87143"/>
    <n v="66597"/>
    <n v="53052"/>
    <n v="1175"/>
    <n v="185"/>
    <n v="189"/>
    <n v="410"/>
    <n v="257"/>
    <n v="42754"/>
    <n v="1959"/>
    <n v="3.69"/>
    <n v="4.8443037020281989E-3"/>
  </r>
  <r>
    <s v="GN20250333"/>
    <d v="2025-07-21T00:00:00"/>
    <x v="1"/>
    <x v="2"/>
    <x v="0"/>
    <s v="Always On"/>
    <s v="Paid"/>
    <n v="88236"/>
    <n v="94408"/>
    <n v="61107"/>
    <n v="656"/>
    <n v="72"/>
    <n v="63"/>
    <n v="109"/>
    <n v="326"/>
    <m/>
    <n v="900"/>
    <n v="1.47"/>
    <n v="5.334904348110691E-3"/>
  </r>
  <r>
    <s v="GN20250334"/>
    <d v="2025-07-22T00:00:00"/>
    <x v="0"/>
    <x v="1"/>
    <x v="3"/>
    <m/>
    <s v="Organic"/>
    <n v="35337"/>
    <n v="9190"/>
    <n v="7660"/>
    <n v="255"/>
    <n v="32"/>
    <n v="43"/>
    <n v="70"/>
    <n v="89"/>
    <m/>
    <n v="400"/>
    <n v="5.22"/>
    <n v="1.1618798955613577E-2"/>
  </r>
  <r>
    <s v="GN20250335"/>
    <d v="2025-07-22T00:00:00"/>
    <x v="1"/>
    <x v="2"/>
    <x v="1"/>
    <s v="Community Week"/>
    <s v="Organic"/>
    <n v="87961"/>
    <n v="48551"/>
    <n v="33672"/>
    <n v="344"/>
    <n v="57"/>
    <n v="40"/>
    <n v="7"/>
    <n v="142"/>
    <m/>
    <n v="448"/>
    <n v="1.33"/>
    <n v="4.2171537182228557E-3"/>
  </r>
  <r>
    <s v="GN20250336"/>
    <d v="2025-07-23T00:00:00"/>
    <x v="0"/>
    <x v="2"/>
    <x v="4"/>
    <s v="New Launch"/>
    <s v="Organic"/>
    <n v="31570"/>
    <n v="7855"/>
    <n v="7181"/>
    <n v="194"/>
    <n v="34"/>
    <n v="18"/>
    <n v="32"/>
    <n v="87"/>
    <m/>
    <n v="278"/>
    <n v="3.87"/>
    <n v="1.211530427517059E-2"/>
  </r>
  <r>
    <s v="GN20250337"/>
    <d v="2025-07-24T00:00:00"/>
    <x v="2"/>
    <x v="2"/>
    <x v="1"/>
    <s v="New Launch"/>
    <s v="Organic"/>
    <n v="72530"/>
    <n v="26985"/>
    <n v="20539"/>
    <n v="354"/>
    <n v="61"/>
    <n v="41"/>
    <n v="35"/>
    <n v="128"/>
    <m/>
    <n v="491"/>
    <n v="2.39"/>
    <n v="6.2320463508447341E-3"/>
  </r>
  <r>
    <s v="GN20250338"/>
    <d v="2025-07-24T00:00:00"/>
    <x v="1"/>
    <x v="2"/>
    <x v="2"/>
    <s v="Community Week"/>
    <s v="Organic"/>
    <n v="87156"/>
    <n v="39581"/>
    <n v="26820"/>
    <n v="340"/>
    <n v="42"/>
    <n v="45"/>
    <n v="62"/>
    <n v="86"/>
    <m/>
    <n v="489"/>
    <n v="1.82"/>
    <n v="3.2065622669649515E-3"/>
  </r>
  <r>
    <s v="GN20250339"/>
    <d v="2025-07-25T00:00:00"/>
    <x v="2"/>
    <x v="2"/>
    <x v="4"/>
    <s v="Festive Campaign"/>
    <s v="Paid"/>
    <n v="72421"/>
    <n v="67322"/>
    <n v="47030"/>
    <n v="1364"/>
    <n v="273"/>
    <n v="150"/>
    <n v="411"/>
    <n v="410"/>
    <m/>
    <n v="2198"/>
    <n v="4.67"/>
    <n v="8.7178396768020413E-3"/>
  </r>
  <r>
    <s v="GN20250340"/>
    <d v="2025-07-26T00:00:00"/>
    <x v="0"/>
    <x v="0"/>
    <x v="4"/>
    <s v="Community Week"/>
    <s v="Organic"/>
    <n v="32629"/>
    <n v="8279"/>
    <n v="5473"/>
    <n v="142"/>
    <n v="16"/>
    <n v="15"/>
    <n v="17"/>
    <n v="85"/>
    <m/>
    <n v="190"/>
    <n v="3.47"/>
    <n v="1.5530787502283939E-2"/>
  </r>
  <r>
    <s v="GN20250341"/>
    <d v="2025-07-26T00:00:00"/>
    <x v="1"/>
    <x v="0"/>
    <x v="4"/>
    <s v="Always On"/>
    <s v="Organic"/>
    <n v="86516"/>
    <n v="32075"/>
    <n v="27740"/>
    <n v="336"/>
    <n v="38"/>
    <n v="40"/>
    <n v="75"/>
    <n v="172"/>
    <m/>
    <n v="489"/>
    <n v="1.76"/>
    <n v="6.2004325883201154E-3"/>
  </r>
  <r>
    <s v="GN20250342"/>
    <d v="2025-07-27T00:00:00"/>
    <x v="1"/>
    <x v="3"/>
    <x v="1"/>
    <s v="Always On"/>
    <s v="Organic"/>
    <n v="85433"/>
    <n v="60084"/>
    <n v="46598"/>
    <n v="498"/>
    <n v="78"/>
    <n v="60"/>
    <n v="127"/>
    <n v="149"/>
    <n v="31730"/>
    <n v="763"/>
    <n v="1.64"/>
    <n v="3.1975621271299196E-3"/>
  </r>
  <r>
    <s v="GN20250343"/>
    <d v="2025-07-27T00:00:00"/>
    <x v="0"/>
    <x v="1"/>
    <x v="4"/>
    <s v="Summer Campaign"/>
    <s v="Organic"/>
    <n v="35048"/>
    <n v="13310"/>
    <n v="10161"/>
    <n v="385"/>
    <n v="62"/>
    <n v="40"/>
    <n v="111"/>
    <n v="184"/>
    <m/>
    <n v="598"/>
    <n v="5.89"/>
    <n v="1.8108453892333433E-2"/>
  </r>
  <r>
    <s v="GN20250344"/>
    <d v="2025-07-28T00:00:00"/>
    <x v="1"/>
    <x v="1"/>
    <x v="3"/>
    <s v="Festive Campaign"/>
    <s v="Organic"/>
    <n v="88369"/>
    <n v="48993"/>
    <n v="44754"/>
    <n v="869"/>
    <n v="154"/>
    <n v="89"/>
    <n v="208"/>
    <n v="214"/>
    <m/>
    <n v="1320"/>
    <n v="2.95"/>
    <n v="4.781695490905841E-3"/>
  </r>
  <r>
    <s v="GN20250345"/>
    <d v="2025-07-29T00:00:00"/>
    <x v="0"/>
    <x v="2"/>
    <x v="4"/>
    <s v="Summer Campaign"/>
    <s v="Paid"/>
    <n v="33938"/>
    <n v="12485"/>
    <n v="9969"/>
    <n v="257"/>
    <n v="48"/>
    <n v="32"/>
    <n v="37"/>
    <n v="152"/>
    <m/>
    <n v="374"/>
    <n v="3.75"/>
    <n v="1.5247266526231318E-2"/>
  </r>
  <r>
    <s v="GN20250346"/>
    <d v="2025-07-29T00:00:00"/>
    <x v="2"/>
    <x v="1"/>
    <x v="2"/>
    <s v="Community Week"/>
    <s v="Organic"/>
    <n v="71218"/>
    <n v="38730"/>
    <n v="26460"/>
    <n v="941"/>
    <n v="107"/>
    <n v="131"/>
    <n v="240"/>
    <n v="215"/>
    <m/>
    <n v="1419"/>
    <n v="5.36"/>
    <n v="8.1254724111866974E-3"/>
  </r>
  <r>
    <s v="GN20250347"/>
    <d v="2025-07-30T00:00:00"/>
    <x v="2"/>
    <x v="3"/>
    <x v="4"/>
    <s v="Summer Campaign"/>
    <s v="Organic"/>
    <n v="74882"/>
    <n v="35448"/>
    <n v="28848"/>
    <n v="1397"/>
    <n v="215"/>
    <n v="176"/>
    <n v="826"/>
    <n v="346"/>
    <n v="16228"/>
    <n v="2614"/>
    <n v="9.06"/>
    <n v="1.199389905712701E-2"/>
  </r>
  <r>
    <s v="GN20250348"/>
    <d v="2025-07-30T00:00:00"/>
    <x v="1"/>
    <x v="1"/>
    <x v="2"/>
    <s v="Community Week"/>
    <s v="Organic"/>
    <n v="87379"/>
    <n v="64208"/>
    <n v="45691"/>
    <n v="896"/>
    <n v="91"/>
    <n v="116"/>
    <n v="231"/>
    <n v="166"/>
    <m/>
    <n v="1334"/>
    <n v="2.92"/>
    <n v="3.6331006106235363E-3"/>
  </r>
  <r>
    <s v="GN20250349"/>
    <d v="2025-07-31T00:00:00"/>
    <x v="2"/>
    <x v="2"/>
    <x v="2"/>
    <s v="Always On"/>
    <s v="Organic"/>
    <n v="74287"/>
    <n v="28083"/>
    <n v="21800"/>
    <n v="737"/>
    <n v="83"/>
    <n v="108"/>
    <n v="86"/>
    <n v="179"/>
    <m/>
    <n v="1014"/>
    <n v="4.6500000000000004"/>
    <n v="8.211009174311926E-3"/>
  </r>
  <r>
    <s v="GN20250350"/>
    <d v="2025-08-01T00:00:00"/>
    <x v="1"/>
    <x v="2"/>
    <x v="2"/>
    <s v="Always On"/>
    <s v="Organic"/>
    <n v="87322"/>
    <n v="32146"/>
    <n v="28278"/>
    <n v="334"/>
    <n v="46"/>
    <n v="37"/>
    <n v="44"/>
    <n v="102"/>
    <m/>
    <n v="461"/>
    <n v="1.63"/>
    <n v="3.607044345427541E-3"/>
  </r>
  <r>
    <s v="GN20250351"/>
    <d v="2025-08-01T00:00:00"/>
    <x v="0"/>
    <x v="2"/>
    <x v="2"/>
    <s v="Community Week"/>
    <s v="Organic"/>
    <n v="34613"/>
    <n v="10899"/>
    <n v="8170"/>
    <n v="194"/>
    <n v="34"/>
    <n v="19"/>
    <n v="26"/>
    <n v="81"/>
    <m/>
    <n v="273"/>
    <n v="3.34"/>
    <n v="9.9143206854345172E-3"/>
  </r>
  <r>
    <s v="GN20250352"/>
    <d v="2025-08-02T00:00:00"/>
    <x v="0"/>
    <x v="0"/>
    <x v="2"/>
    <s v="Festive Campaign"/>
    <s v="Organic"/>
    <n v="32824"/>
    <n v="6597"/>
    <n v="5934"/>
    <n v="146"/>
    <n v="26"/>
    <n v="13"/>
    <n v="11"/>
    <n v="86"/>
    <m/>
    <n v="196"/>
    <n v="3.3"/>
    <n v="1.4492753623188406E-2"/>
  </r>
  <r>
    <s v="GN20250353"/>
    <d v="2025-08-02T00:00:00"/>
    <x v="2"/>
    <x v="2"/>
    <x v="0"/>
    <s v="Festive Campaign"/>
    <s v="Organic"/>
    <n v="71203"/>
    <n v="32303"/>
    <n v="24804"/>
    <n v="904"/>
    <n v="115"/>
    <n v="89"/>
    <n v="193"/>
    <n v="291"/>
    <m/>
    <n v="1301"/>
    <n v="5.25"/>
    <n v="1.1731978713110788E-2"/>
  </r>
  <r>
    <s v="GN20250354"/>
    <d v="2025-08-03T00:00:00"/>
    <x v="0"/>
    <x v="2"/>
    <x v="4"/>
    <s v="Always On"/>
    <s v="Organic"/>
    <n v="35483"/>
    <n v="12957"/>
    <n v="9311"/>
    <n v="296"/>
    <n v="41"/>
    <n v="38"/>
    <n v="84"/>
    <n v="128"/>
    <m/>
    <n v="459"/>
    <n v="4.93"/>
    <n v="1.3747180753946944E-2"/>
  </r>
  <r>
    <s v="GN20250355"/>
    <d v="2025-08-04T00:00:00"/>
    <x v="2"/>
    <x v="2"/>
    <x v="1"/>
    <s v="Always On"/>
    <s v="Organic"/>
    <n v="72741"/>
    <n v="23825"/>
    <n v="19177"/>
    <n v="435"/>
    <n v="86"/>
    <n v="52"/>
    <n v="53"/>
    <n v="154"/>
    <m/>
    <n v="626"/>
    <n v="3.26"/>
    <n v="8.0304531469990101E-3"/>
  </r>
  <r>
    <s v="GN20250356"/>
    <d v="2025-08-04T00:00:00"/>
    <x v="0"/>
    <x v="1"/>
    <x v="4"/>
    <s v="Community Week"/>
    <s v="Paid"/>
    <n v="33330"/>
    <n v="17466"/>
    <n v="11276"/>
    <n v="363"/>
    <n v="45"/>
    <n v="47"/>
    <n v="154"/>
    <n v="174"/>
    <m/>
    <n v="609"/>
    <n v="5.4"/>
    <n v="1.5431003902092941E-2"/>
  </r>
  <r>
    <s v="GN20250357"/>
    <d v="2025-08-05T00:00:00"/>
    <x v="1"/>
    <x v="0"/>
    <x v="1"/>
    <s v="Summer Campaign"/>
    <s v="Organic"/>
    <n v="87540"/>
    <n v="34767"/>
    <n v="25494"/>
    <n v="226"/>
    <n v="39"/>
    <n v="27"/>
    <n v="20"/>
    <n v="112"/>
    <m/>
    <n v="312"/>
    <n v="1.22"/>
    <n v="4.3931905546403076E-3"/>
  </r>
  <r>
    <s v="GN20250358"/>
    <d v="2025-08-05T00:00:00"/>
    <x v="1"/>
    <x v="2"/>
    <x v="2"/>
    <s v="Summer Campaign"/>
    <s v="Organic"/>
    <n v="86357"/>
    <n v="49046"/>
    <n v="41551"/>
    <n v="640"/>
    <n v="81"/>
    <n v="101"/>
    <n v="70"/>
    <n v="119"/>
    <m/>
    <n v="892"/>
    <n v="2.15"/>
    <n v="2.8639503261052683E-3"/>
  </r>
  <r>
    <s v="GN20250359"/>
    <d v="2025-08-06T00:00:00"/>
    <x v="2"/>
    <x v="1"/>
    <x v="2"/>
    <s v="Festive Campaign"/>
    <s v="Organic"/>
    <n v="73792"/>
    <n v="40070"/>
    <n v="30291"/>
    <n v="1120"/>
    <n v="141"/>
    <n v="112"/>
    <n v="282"/>
    <n v="328"/>
    <m/>
    <n v="1655"/>
    <n v="5.46"/>
    <n v="1.0828298834637351E-2"/>
  </r>
  <r>
    <s v="GN20250360"/>
    <d v="2025-08-07T00:00:00"/>
    <x v="2"/>
    <x v="3"/>
    <x v="4"/>
    <s v="Always On"/>
    <s v="Organic"/>
    <n v="72441"/>
    <n v="32894"/>
    <n v="28207"/>
    <n v="1599"/>
    <n v="211"/>
    <n v="284"/>
    <n v="577"/>
    <n v="387"/>
    <n v="23151"/>
    <n v="2671"/>
    <n v="9.4700000000000006"/>
    <n v="1.3719998581912292E-2"/>
  </r>
  <r>
    <s v="GN20250361"/>
    <d v="2025-08-07T00:00:00"/>
    <x v="2"/>
    <x v="3"/>
    <x v="3"/>
    <s v="Festive Campaign"/>
    <s v="Organic"/>
    <n v="72581"/>
    <n v="38244"/>
    <n v="27223"/>
    <n v="1423"/>
    <n v="184"/>
    <n v="158"/>
    <n v="190"/>
    <n v="420"/>
    <n v="19941"/>
    <n v="1955"/>
    <n v="7.18"/>
    <n v="1.542813062483929E-2"/>
  </r>
  <r>
    <s v="GN20250362"/>
    <d v="2025-08-08T00:00:00"/>
    <x v="2"/>
    <x v="3"/>
    <x v="2"/>
    <s v="Community Week"/>
    <s v="Organic"/>
    <n v="72247"/>
    <n v="34029"/>
    <n v="27259"/>
    <n v="1374"/>
    <n v="164"/>
    <n v="220"/>
    <n v="425"/>
    <n v="184"/>
    <n v="20179"/>
    <n v="2183"/>
    <n v="8.01"/>
    <n v="6.7500641989801536E-3"/>
  </r>
  <r>
    <s v="GN20250363"/>
    <d v="2025-08-08T00:00:00"/>
    <x v="1"/>
    <x v="3"/>
    <x v="1"/>
    <s v="Community Week"/>
    <s v="Paid"/>
    <n v="87448"/>
    <n v="96663"/>
    <n v="85421"/>
    <n v="1287"/>
    <n v="173"/>
    <n v="186"/>
    <n v="82"/>
    <n v="389"/>
    <n v="60804"/>
    <n v="1728"/>
    <n v="2.02"/>
    <n v="4.5539153135645801E-3"/>
  </r>
  <r>
    <s v="GN20250364"/>
    <d v="2025-08-09T00:00:00"/>
    <x v="2"/>
    <x v="3"/>
    <x v="4"/>
    <s v="Always On"/>
    <s v="Organic"/>
    <n v="72649"/>
    <n v="50228"/>
    <n v="37012"/>
    <n v="1794"/>
    <n v="291"/>
    <n v="303"/>
    <n v="546"/>
    <n v="481"/>
    <n v="29094"/>
    <n v="2934"/>
    <n v="7.93"/>
    <n v="1.2995785150761914E-2"/>
  </r>
  <r>
    <s v="GN20250365"/>
    <d v="2025-08-10T00:00:00"/>
    <x v="1"/>
    <x v="2"/>
    <x v="2"/>
    <m/>
    <s v="Organic"/>
    <n v="88475"/>
    <n v="38408"/>
    <n v="26852"/>
    <n v="341"/>
    <n v="58"/>
    <n v="48"/>
    <n v="58"/>
    <n v="117"/>
    <m/>
    <n v="505"/>
    <n v="1.88"/>
    <n v="4.3572173394905407E-3"/>
  </r>
  <r>
    <s v="GN20250366"/>
    <d v="2025-08-10T00:00:00"/>
    <x v="1"/>
    <x v="1"/>
    <x v="1"/>
    <s v="Summer Campaign"/>
    <s v="Organic"/>
    <n v="87786"/>
    <n v="67883"/>
    <n v="44777"/>
    <n v="508"/>
    <n v="47"/>
    <n v="44"/>
    <n v="60"/>
    <n v="202"/>
    <m/>
    <n v="659"/>
    <n v="1.47"/>
    <n v="4.5112446121892934E-3"/>
  </r>
  <r>
    <s v="GN20250367"/>
    <d v="2025-08-11T00:00:00"/>
    <x v="1"/>
    <x v="2"/>
    <x v="3"/>
    <s v="Always On"/>
    <s v="Organic"/>
    <n v="90550"/>
    <n v="36124"/>
    <n v="27098"/>
    <n v="361"/>
    <n v="55"/>
    <n v="38"/>
    <n v="38"/>
    <n v="139"/>
    <m/>
    <n v="492"/>
    <n v="1.82"/>
    <n v="5.1295298546018154E-3"/>
  </r>
  <r>
    <s v="GN20250368"/>
    <d v="2025-08-12T00:00:00"/>
    <x v="2"/>
    <x v="0"/>
    <x v="1"/>
    <s v="Festive Campaign"/>
    <s v="Organic"/>
    <n v="73163"/>
    <n v="29170"/>
    <n v="21366"/>
    <n v="345"/>
    <n v="53"/>
    <n v="42"/>
    <n v="44"/>
    <n v="195"/>
    <m/>
    <n v="484"/>
    <n v="2.27"/>
    <n v="9.1266498174670044E-3"/>
  </r>
  <r>
    <s v="GN20250369"/>
    <d v="2025-08-12T00:00:00"/>
    <x v="1"/>
    <x v="1"/>
    <x v="1"/>
    <s v="New Launch"/>
    <s v="Organic"/>
    <n v="86800"/>
    <n v="59745"/>
    <n v="48620"/>
    <n v="448"/>
    <n v="57"/>
    <n v="49"/>
    <n v="74"/>
    <n v="184"/>
    <m/>
    <n v="628"/>
    <n v="1.29"/>
    <n v="3.7844508432743726E-3"/>
  </r>
  <r>
    <s v="GN20250370"/>
    <d v="2025-08-13T00:00:00"/>
    <x v="0"/>
    <x v="1"/>
    <x v="0"/>
    <s v="Community Week"/>
    <s v="Organic"/>
    <n v="35488"/>
    <n v="8408"/>
    <n v="6892"/>
    <n v="265"/>
    <n v="43"/>
    <n v="28"/>
    <n v="57"/>
    <n v="76"/>
    <m/>
    <n v="393"/>
    <n v="5.7"/>
    <n v="1.1027278003482298E-2"/>
  </r>
  <r>
    <s v="GN20250371"/>
    <d v="2025-08-13T00:00:00"/>
    <x v="2"/>
    <x v="1"/>
    <x v="3"/>
    <s v="Festive Campaign"/>
    <s v="Organic"/>
    <n v="73331"/>
    <n v="37983"/>
    <n v="27756"/>
    <n v="1312"/>
    <n v="148"/>
    <n v="161"/>
    <n v="146"/>
    <n v="406"/>
    <m/>
    <n v="1767"/>
    <n v="6.37"/>
    <n v="1.4627467934860932E-2"/>
  </r>
  <r>
    <s v="GN20250372"/>
    <d v="2025-08-14T00:00:00"/>
    <x v="2"/>
    <x v="1"/>
    <x v="4"/>
    <s v="Festive Campaign"/>
    <s v="Paid"/>
    <n v="74102"/>
    <n v="60136"/>
    <n v="42754"/>
    <n v="1850"/>
    <n v="215"/>
    <n v="172"/>
    <n v="686"/>
    <n v="719"/>
    <m/>
    <n v="2923"/>
    <n v="6.84"/>
    <n v="1.6817139916732938E-2"/>
  </r>
  <r>
    <s v="GN20250373"/>
    <d v="2025-08-15T00:00:00"/>
    <x v="2"/>
    <x v="1"/>
    <x v="2"/>
    <s v="Summer Campaign"/>
    <s v="Organic"/>
    <n v="71694"/>
    <n v="40236"/>
    <n v="30237"/>
    <n v="1153"/>
    <n v="183"/>
    <n v="169"/>
    <n v="96"/>
    <n v="320"/>
    <m/>
    <n v="1601"/>
    <n v="5.29"/>
    <n v="1.0583060488805106E-2"/>
  </r>
  <r>
    <s v="GN20250374"/>
    <d v="2025-08-15T00:00:00"/>
    <x v="2"/>
    <x v="3"/>
    <x v="4"/>
    <s v="New Launch"/>
    <s v="Organic"/>
    <n v="71756"/>
    <n v="31297"/>
    <n v="26729"/>
    <n v="1587"/>
    <n v="201"/>
    <n v="235"/>
    <n v="663"/>
    <n v="356"/>
    <n v="22175"/>
    <n v="2686"/>
    <n v="10.050000000000001"/>
    <n v="1.3318867148041454E-2"/>
  </r>
  <r>
    <s v="GN20250375"/>
    <d v="2025-08-16T00:00:00"/>
    <x v="2"/>
    <x v="2"/>
    <x v="2"/>
    <s v="New Launch"/>
    <s v="Organic"/>
    <n v="75612"/>
    <n v="23798"/>
    <n v="21186"/>
    <n v="863"/>
    <n v="156"/>
    <n v="78"/>
    <n v="80"/>
    <n v="175"/>
    <m/>
    <n v="1177"/>
    <n v="5.56"/>
    <n v="8.26017181157368E-3"/>
  </r>
  <r>
    <s v="GN20250376"/>
    <d v="2025-08-16T00:00:00"/>
    <x v="2"/>
    <x v="2"/>
    <x v="2"/>
    <s v="Always On"/>
    <s v="Organic"/>
    <n v="72520"/>
    <n v="29648"/>
    <n v="26817"/>
    <n v="889"/>
    <n v="95"/>
    <n v="134"/>
    <n v="162"/>
    <n v="201"/>
    <m/>
    <n v="1280"/>
    <n v="4.7699999999999996"/>
    <n v="7.4952455531938694E-3"/>
  </r>
  <r>
    <s v="GN20250377"/>
    <d v="2025-08-17T00:00:00"/>
    <x v="2"/>
    <x v="3"/>
    <x v="1"/>
    <s v="Festive Campaign"/>
    <s v="Organic"/>
    <n v="72730"/>
    <n v="33585"/>
    <n v="30977"/>
    <n v="1298"/>
    <n v="226"/>
    <n v="191"/>
    <m/>
    <n v="270"/>
    <n v="21573"/>
    <n v="1812"/>
    <n v="5.85"/>
    <n v="8.7161442360460979E-3"/>
  </r>
  <r>
    <s v="GN20250378"/>
    <d v="2025-08-18T00:00:00"/>
    <x v="2"/>
    <x v="2"/>
    <x v="2"/>
    <s v="Always On"/>
    <s v="Organic"/>
    <n v="73068"/>
    <n v="30694"/>
    <n v="23059"/>
    <n v="950"/>
    <n v="105"/>
    <n v="135"/>
    <n v="61"/>
    <n v="156"/>
    <m/>
    <n v="1251"/>
    <n v="5.43"/>
    <n v="6.765254347543259E-3"/>
  </r>
  <r>
    <s v="GN20250379"/>
    <d v="2025-08-18T00:00:00"/>
    <x v="0"/>
    <x v="2"/>
    <x v="2"/>
    <s v="New Launch"/>
    <s v="Organic"/>
    <n v="35335"/>
    <n v="9677"/>
    <n v="7468"/>
    <n v="173"/>
    <n v="20"/>
    <n v="24"/>
    <n v="10"/>
    <n v="67"/>
    <m/>
    <n v="227"/>
    <n v="3.04"/>
    <n v="8.9716122121049815E-3"/>
  </r>
  <r>
    <s v="GN20250380"/>
    <d v="2025-08-19T00:00:00"/>
    <x v="2"/>
    <x v="1"/>
    <x v="0"/>
    <s v="New Launch"/>
    <s v="Organic"/>
    <n v="72264"/>
    <n v="24309"/>
    <n v="19656"/>
    <n v="745"/>
    <n v="141"/>
    <n v="92"/>
    <n v="150"/>
    <n v="217"/>
    <m/>
    <n v="1128"/>
    <n v="5.74"/>
    <n v="1.1039886039886039E-2"/>
  </r>
  <r>
    <s v="GN20250381"/>
    <d v="2025-08-19T00:00:00"/>
    <x v="1"/>
    <x v="2"/>
    <x v="4"/>
    <s v="Community Week"/>
    <s v="Organic"/>
    <n v="87799"/>
    <n v="33865"/>
    <n v="29713"/>
    <n v="526"/>
    <n v="65"/>
    <n v="81"/>
    <n v="112"/>
    <n v="129"/>
    <m/>
    <n v="784"/>
    <n v="2.64"/>
    <n v="4.3415340086830683E-3"/>
  </r>
  <r>
    <s v="GN20250382"/>
    <d v="2025-08-20T00:00:00"/>
    <x v="2"/>
    <x v="1"/>
    <x v="1"/>
    <s v="Community Week"/>
    <s v="Organic"/>
    <n v="72730"/>
    <n v="32506"/>
    <n v="22146"/>
    <n v="562"/>
    <n v="85"/>
    <n v="55"/>
    <n v="122"/>
    <n v="245"/>
    <m/>
    <n v="824"/>
    <n v="3.72"/>
    <n v="1.1062945904452271E-2"/>
  </r>
  <r>
    <s v="GN20250383"/>
    <d v="2025-08-21T00:00:00"/>
    <x v="1"/>
    <x v="1"/>
    <x v="4"/>
    <s v="Summer Campaign"/>
    <s v="Organic"/>
    <n v="89919"/>
    <n v="70035"/>
    <n v="46158"/>
    <n v="990"/>
    <n v="117"/>
    <n v="98"/>
    <n v="352"/>
    <n v="294"/>
    <m/>
    <n v="1557"/>
    <n v="3.37"/>
    <n v="6.369426751592357E-3"/>
  </r>
  <r>
    <s v="GN20250384"/>
    <d v="2025-08-21T00:00:00"/>
    <x v="1"/>
    <x v="3"/>
    <x v="1"/>
    <s v="New Launch"/>
    <s v="Organic"/>
    <n v="87266"/>
    <n v="68267"/>
    <n v="50180"/>
    <n v="714"/>
    <n v="128"/>
    <n v="111"/>
    <n v="49"/>
    <n v="170"/>
    <n v="28311"/>
    <n v="1002"/>
    <n v="2"/>
    <n v="3.387803905938621E-3"/>
  </r>
  <r>
    <s v="GN20250385"/>
    <d v="2025-08-22T00:00:00"/>
    <x v="2"/>
    <x v="1"/>
    <x v="1"/>
    <s v="Summer Campaign"/>
    <s v="Organic"/>
    <n v="73897"/>
    <n v="37630"/>
    <n v="24632"/>
    <n v="703"/>
    <n v="95"/>
    <n v="74"/>
    <n v="165"/>
    <n v="246"/>
    <m/>
    <n v="1037"/>
    <n v="4.21"/>
    <n v="9.9870087690808705E-3"/>
  </r>
  <r>
    <s v="GN20250386"/>
    <d v="2025-08-22T00:00:00"/>
    <x v="2"/>
    <x v="3"/>
    <x v="2"/>
    <s v="Community Week"/>
    <s v="Organic"/>
    <n v="72420"/>
    <n v="47551"/>
    <n v="34611"/>
    <n v="2170"/>
    <n v="305"/>
    <n v="329"/>
    <n v="196"/>
    <n v="281"/>
    <n v="26448"/>
    <n v="3000"/>
    <n v="8.67"/>
    <n v="8.1188061598913633E-3"/>
  </r>
  <r>
    <s v="GN20250387"/>
    <d v="2025-08-23T00:00:00"/>
    <x v="0"/>
    <x v="0"/>
    <x v="1"/>
    <s v="Community Week"/>
    <s v="Organic"/>
    <n v="34895"/>
    <n v="8388"/>
    <n v="7222"/>
    <n v="106"/>
    <n v="17"/>
    <n v="11"/>
    <n v="10"/>
    <n v="104"/>
    <m/>
    <n v="144"/>
    <n v="1.99"/>
    <n v="1.4400443090556632E-2"/>
  </r>
  <r>
    <s v="GN20250388"/>
    <d v="2025-08-24T00:00:00"/>
    <x v="2"/>
    <x v="3"/>
    <x v="0"/>
    <s v="Always On"/>
    <s v="Organic"/>
    <n v="73475"/>
    <n v="33037"/>
    <n v="28571"/>
    <n v="1245"/>
    <n v="142"/>
    <n v="205"/>
    <n v="216"/>
    <n v="374"/>
    <n v="18844"/>
    <n v="1808"/>
    <n v="6.33"/>
    <n v="1.3090196352945295E-2"/>
  </r>
  <r>
    <s v="GN20250389"/>
    <d v="2025-08-24T00:00:00"/>
    <x v="2"/>
    <x v="3"/>
    <x v="1"/>
    <s v="New Launch"/>
    <s v="Organic"/>
    <n v="73089"/>
    <n v="45040"/>
    <n v="34350"/>
    <n v="1215"/>
    <n v="200"/>
    <n v="127"/>
    <n v="76"/>
    <n v="281"/>
    <n v="30391"/>
    <n v="1618"/>
    <n v="4.71"/>
    <n v="8.1804949053857351E-3"/>
  </r>
  <r>
    <s v="GN20250390"/>
    <d v="2025-08-25T00:00:00"/>
    <x v="2"/>
    <x v="1"/>
    <x v="1"/>
    <s v="Summer Campaign"/>
    <s v="Organic"/>
    <n v="74969"/>
    <n v="27724"/>
    <n v="22738"/>
    <n v="606"/>
    <n v="58"/>
    <n v="82"/>
    <n v="71"/>
    <n v="183"/>
    <m/>
    <n v="817"/>
    <n v="3.59"/>
    <n v="8.0482012490104664E-3"/>
  </r>
  <r>
    <s v="GN20250391"/>
    <d v="2025-08-25T00:00:00"/>
    <x v="2"/>
    <x v="2"/>
    <x v="1"/>
    <s v="Festive Campaign"/>
    <s v="Paid"/>
    <n v="72837"/>
    <n v="36806"/>
    <n v="27721"/>
    <n v="561"/>
    <n v="96"/>
    <n v="56"/>
    <n v="23"/>
    <n v="230"/>
    <m/>
    <n v="736"/>
    <n v="2.66"/>
    <n v="8.2969589841636309E-3"/>
  </r>
  <r>
    <s v="GN20250392"/>
    <d v="2025-08-26T00:00:00"/>
    <x v="1"/>
    <x v="2"/>
    <x v="2"/>
    <s v="New Launch"/>
    <s v="Paid"/>
    <n v="87383"/>
    <n v="69908"/>
    <n v="47525"/>
    <n v="630"/>
    <n v="110"/>
    <n v="69"/>
    <n v="110"/>
    <n v="149"/>
    <m/>
    <n v="919"/>
    <n v="1.93"/>
    <n v="3.1351920042083114E-3"/>
  </r>
  <r>
    <s v="GN20250393"/>
    <d v="2025-08-27T00:00:00"/>
    <x v="2"/>
    <x v="2"/>
    <x v="3"/>
    <s v="Always On"/>
    <s v="Paid"/>
    <n v="71453"/>
    <n v="29880"/>
    <n v="24024"/>
    <n v="782"/>
    <n v="78"/>
    <n v="93"/>
    <n v="126"/>
    <n v="240"/>
    <m/>
    <n v="1079"/>
    <n v="4.49"/>
    <n v="9.99000999000999E-3"/>
  </r>
  <r>
    <s v="GN20250394"/>
    <d v="2025-08-27T00:00:00"/>
    <x v="2"/>
    <x v="3"/>
    <x v="3"/>
    <s v="Festive Campaign"/>
    <s v="Organic"/>
    <n v="74032"/>
    <n v="45007"/>
    <n v="30926"/>
    <n v="1197"/>
    <n v="162"/>
    <n v="192"/>
    <n v="292"/>
    <n v="440"/>
    <n v="27465"/>
    <n v="1843"/>
    <n v="5.96"/>
    <n v="1.4227510832309383E-2"/>
  </r>
  <r>
    <s v="GN20250395"/>
    <d v="2025-08-28T00:00:00"/>
    <x v="2"/>
    <x v="2"/>
    <x v="4"/>
    <s v="New Launch"/>
    <s v="Organic"/>
    <n v="70973"/>
    <n v="32603"/>
    <n v="29851"/>
    <n v="946"/>
    <n v="103"/>
    <n v="136"/>
    <n v="209"/>
    <n v="396"/>
    <m/>
    <n v="1394"/>
    <n v="4.67"/>
    <n v="1.326588723995846E-2"/>
  </r>
  <r>
    <s v="GN20250396"/>
    <d v="2025-08-29T00:00:00"/>
    <x v="0"/>
    <x v="1"/>
    <x v="2"/>
    <s v="Always On"/>
    <s v="Paid"/>
    <n v="35312"/>
    <n v="20407"/>
    <n v="15236"/>
    <n v="542"/>
    <n v="92"/>
    <n v="71"/>
    <n v="25"/>
    <n v="191"/>
    <m/>
    <n v="730"/>
    <n v="4.79"/>
    <n v="1.2536098713573116E-2"/>
  </r>
  <r>
    <s v="GN20250397"/>
    <d v="2025-08-29T00:00:00"/>
    <x v="1"/>
    <x v="1"/>
    <x v="3"/>
    <s v="Summer Campaign"/>
    <s v="Organic"/>
    <n v="89192"/>
    <n v="52804"/>
    <n v="41201"/>
    <n v="632"/>
    <n v="127"/>
    <n v="66"/>
    <n v="198"/>
    <n v="200"/>
    <m/>
    <n v="1023"/>
    <n v="2.48"/>
    <n v="4.8542511104099411E-3"/>
  </r>
  <r>
    <s v="GN20250398"/>
    <d v="2025-08-30T00:00:00"/>
    <x v="0"/>
    <x v="1"/>
    <x v="1"/>
    <s v="New Launch"/>
    <s v="Organic"/>
    <n v="34276"/>
    <n v="9188"/>
    <n v="7763"/>
    <n v="121"/>
    <n v="17"/>
    <n v="21"/>
    <n v="25"/>
    <n v="66"/>
    <m/>
    <n v="184"/>
    <n v="2.37"/>
    <n v="8.501867834600026E-3"/>
  </r>
  <r>
    <s v="GN20250399"/>
    <d v="2025-08-30T00:00:00"/>
    <x v="2"/>
    <x v="1"/>
    <x v="3"/>
    <s v="Community Week"/>
    <s v="Organic"/>
    <n v="71628"/>
    <n v="27662"/>
    <n v="24782"/>
    <n v="988"/>
    <n v="171"/>
    <n v="135"/>
    <n v="235"/>
    <n v="371"/>
    <m/>
    <n v="1529"/>
    <n v="6.17"/>
    <n v="1.4970543136147204E-2"/>
  </r>
  <r>
    <s v="GN20250400"/>
    <d v="2025-08-31T00:00:00"/>
    <x v="1"/>
    <x v="2"/>
    <x v="3"/>
    <s v="Community Week"/>
    <s v="Organic"/>
    <n v="90663"/>
    <n v="36924"/>
    <n v="28417"/>
    <n v="350"/>
    <n v="44"/>
    <n v="35"/>
    <n v="82"/>
    <n v="159"/>
    <m/>
    <n v="511"/>
    <n v="1.8"/>
    <n v="5.5952422845479818E-3"/>
  </r>
  <r>
    <s v="GN20250401"/>
    <d v="2025-09-01T00:00:00"/>
    <x v="1"/>
    <x v="1"/>
    <x v="1"/>
    <s v="Community Week"/>
    <s v="Organic"/>
    <n v="87832"/>
    <n v="46300"/>
    <n v="33195"/>
    <n v="352"/>
    <n v="37"/>
    <n v="50"/>
    <n v="42"/>
    <n v="136"/>
    <m/>
    <n v="481"/>
    <n v="1.45"/>
    <n v="4.0970025606266005E-3"/>
  </r>
  <r>
    <s v="GN20250402"/>
    <d v="2025-09-01T00:00:00"/>
    <x v="2"/>
    <x v="2"/>
    <x v="2"/>
    <s v="Always On"/>
    <s v="Organic"/>
    <n v="73642"/>
    <n v="25528"/>
    <n v="17609"/>
    <n v="556"/>
    <n v="78"/>
    <n v="47"/>
    <n v="74"/>
    <n v="139"/>
    <m/>
    <n v="755"/>
    <n v="4.29"/>
    <n v="7.8936907263331257E-3"/>
  </r>
  <r>
    <s v="GN20250403"/>
    <d v="2025-09-02T00:00:00"/>
    <x v="0"/>
    <x v="2"/>
    <x v="2"/>
    <s v="Festive Campaign"/>
    <s v="Organic"/>
    <n v="33638"/>
    <n v="7593"/>
    <n v="6099"/>
    <n v="140"/>
    <n v="19"/>
    <n v="17"/>
    <n v="30"/>
    <n v="54"/>
    <m/>
    <n v="206"/>
    <n v="3.38"/>
    <n v="8.8539104771273979E-3"/>
  </r>
  <r>
    <s v="GN20250404"/>
    <d v="2025-09-02T00:00:00"/>
    <x v="1"/>
    <x v="2"/>
    <x v="4"/>
    <s v="New Launch"/>
    <s v="Paid"/>
    <n v="90123"/>
    <n v="52064"/>
    <n v="46903"/>
    <n v="678"/>
    <n v="95"/>
    <n v="112"/>
    <n v="209"/>
    <n v="223"/>
    <m/>
    <n v="1094"/>
    <n v="2.33"/>
    <n v="4.7544933159925805E-3"/>
  </r>
  <r>
    <s v="GN20250405"/>
    <d v="2025-09-03T00:00:00"/>
    <x v="0"/>
    <x v="3"/>
    <x v="3"/>
    <s v="Community Week"/>
    <s v="Paid"/>
    <n v="33025"/>
    <n v="25840"/>
    <n v="16731"/>
    <n v="638"/>
    <n v="106"/>
    <n v="55"/>
    <n v="150"/>
    <n v="197"/>
    <n v="13767"/>
    <n v="949"/>
    <n v="5.67"/>
    <n v="1.1774550236088697E-2"/>
  </r>
  <r>
    <s v="GN20250406"/>
    <d v="2025-09-04T00:00:00"/>
    <x v="2"/>
    <x v="2"/>
    <x v="0"/>
    <s v="Summer Campaign"/>
    <s v="Organic"/>
    <n v="74500"/>
    <n v="29652"/>
    <n v="22099"/>
    <n v="582"/>
    <n v="64"/>
    <n v="58"/>
    <n v="143"/>
    <n v="240"/>
    <m/>
    <n v="847"/>
    <n v="3.83"/>
    <n v="1.0860219919453368E-2"/>
  </r>
  <r>
    <s v="GN20250407"/>
    <d v="2025-09-04T00:00:00"/>
    <x v="2"/>
    <x v="1"/>
    <x v="4"/>
    <s v="Always On"/>
    <s v="Organic"/>
    <n v="73484"/>
    <n v="37400"/>
    <n v="26303"/>
    <n v="1326"/>
    <n v="182"/>
    <n v="127"/>
    <n v="721"/>
    <n v="414"/>
    <m/>
    <n v="2356"/>
    <n v="8.9600000000000009"/>
    <n v="1.5739649469642247E-2"/>
  </r>
  <r>
    <s v="GN20250408"/>
    <d v="2025-09-05T00:00:00"/>
    <x v="2"/>
    <x v="2"/>
    <x v="2"/>
    <s v="Festive Campaign"/>
    <s v="Organic"/>
    <n v="74663"/>
    <n v="33717"/>
    <n v="22074"/>
    <n v="928"/>
    <n v="113"/>
    <n v="113"/>
    <n v="72"/>
    <n v="189"/>
    <m/>
    <n v="1226"/>
    <n v="5.55"/>
    <n v="8.5621092688230489E-3"/>
  </r>
  <r>
    <s v="GN20250409"/>
    <d v="2025-09-05T00:00:00"/>
    <x v="1"/>
    <x v="0"/>
    <x v="1"/>
    <s v="Summer Campaign"/>
    <s v="Organic"/>
    <n v="87285"/>
    <n v="47617"/>
    <n v="30849"/>
    <n v="224"/>
    <n v="25"/>
    <n v="31"/>
    <n v="8"/>
    <n v="101"/>
    <m/>
    <n v="288"/>
    <n v="0.93"/>
    <n v="3.2740121235696456E-3"/>
  </r>
  <r>
    <s v="GN20250410"/>
    <d v="2025-09-06T00:00:00"/>
    <x v="1"/>
    <x v="0"/>
    <x v="2"/>
    <s v="New Launch"/>
    <s v="Organic"/>
    <n v="89238"/>
    <n v="44728"/>
    <n v="37865"/>
    <n v="490"/>
    <n v="95"/>
    <n v="85"/>
    <n v="46"/>
    <n v="184"/>
    <m/>
    <n v="716"/>
    <n v="1.89"/>
    <n v="4.8593688102469296E-3"/>
  </r>
  <r>
    <s v="GN20250411"/>
    <d v="2025-09-07T00:00:00"/>
    <x v="1"/>
    <x v="2"/>
    <x v="4"/>
    <s v="Festive Campaign"/>
    <s v="Organic"/>
    <n v="87375"/>
    <n v="52963"/>
    <n v="36870"/>
    <n v="532"/>
    <n v="57"/>
    <n v="84"/>
    <n v="110"/>
    <n v="235"/>
    <m/>
    <n v="783"/>
    <n v="2.12"/>
    <n v="6.3737455926227288E-3"/>
  </r>
  <r>
    <s v="GN20250412"/>
    <d v="2025-09-07T00:00:00"/>
    <x v="1"/>
    <x v="3"/>
    <x v="3"/>
    <s v="Festive Campaign"/>
    <s v="Paid"/>
    <n v="90288"/>
    <n v="110358"/>
    <n v="80887"/>
    <n v="1277"/>
    <n v="200"/>
    <n v="166"/>
    <n v="148"/>
    <n v="348"/>
    <n v="60189"/>
    <n v="1791"/>
    <n v="2.21"/>
    <n v="4.3022982679540595E-3"/>
  </r>
  <r>
    <s v="GN20250413"/>
    <d v="2025-09-08T00:00:00"/>
    <x v="2"/>
    <x v="1"/>
    <x v="4"/>
    <s v="Festive Campaign"/>
    <s v="Organic"/>
    <n v="73206"/>
    <n v="41100"/>
    <n v="30594"/>
    <n v="1330"/>
    <n v="164"/>
    <n v="181"/>
    <n v="586"/>
    <n v="314"/>
    <m/>
    <n v="2261"/>
    <n v="7.39"/>
    <n v="1.0263450349741779E-2"/>
  </r>
  <r>
    <s v="GN20250414"/>
    <d v="2025-09-08T00:00:00"/>
    <x v="2"/>
    <x v="1"/>
    <x v="0"/>
    <s v="Festive Campaign"/>
    <s v="Paid"/>
    <n v="74655"/>
    <n v="62377"/>
    <n v="44073"/>
    <n v="1985"/>
    <n v="330"/>
    <n v="338"/>
    <n v="434"/>
    <n v="518"/>
    <m/>
    <n v="3087"/>
    <n v="7"/>
    <n v="1.1753227599664193E-2"/>
  </r>
  <r>
    <s v="GN20250415"/>
    <d v="2025-09-09T00:00:00"/>
    <x v="1"/>
    <x v="3"/>
    <x v="0"/>
    <s v="New Launch"/>
    <s v="Paid"/>
    <n v="89537"/>
    <n v="74395"/>
    <n v="65700"/>
    <n v="1570"/>
    <n v="215"/>
    <n v="199"/>
    <n v="137"/>
    <n v="253"/>
    <n v="48096"/>
    <n v="2121"/>
    <n v="3.23"/>
    <n v="3.8508371385083712E-3"/>
  </r>
  <r>
    <s v="GN20250416"/>
    <d v="2025-09-10T00:00:00"/>
    <x v="1"/>
    <x v="3"/>
    <x v="1"/>
    <s v="New Launch"/>
    <s v="Paid"/>
    <n v="89342"/>
    <n v="97391"/>
    <n v="76250"/>
    <n v="818"/>
    <n v="143"/>
    <n v="112"/>
    <n v="123"/>
    <n v="285"/>
    <n v="54076"/>
    <n v="1196"/>
    <n v="1.57"/>
    <n v="3.7377049180327871E-3"/>
  </r>
  <r>
    <s v="GN20250417"/>
    <d v="2025-09-10T00:00:00"/>
    <x v="0"/>
    <x v="2"/>
    <x v="0"/>
    <s v="Always On"/>
    <s v="Organic"/>
    <n v="34989"/>
    <n v="9570"/>
    <n v="8461"/>
    <n v="161"/>
    <n v="20"/>
    <n v="23"/>
    <n v="34"/>
    <n v="73"/>
    <m/>
    <n v="238"/>
    <n v="2.81"/>
    <n v="8.6278217704763033E-3"/>
  </r>
  <r>
    <s v="GN20250418"/>
    <d v="2025-09-11T00:00:00"/>
    <x v="0"/>
    <x v="2"/>
    <x v="2"/>
    <s v="Summer Campaign"/>
    <s v="Organic"/>
    <n v="34501"/>
    <n v="14389"/>
    <n v="9908"/>
    <n v="245"/>
    <n v="41"/>
    <n v="37"/>
    <n v="23"/>
    <n v="96"/>
    <m/>
    <n v="346"/>
    <n v="3.49"/>
    <n v="9.6891400888171175E-3"/>
  </r>
  <r>
    <s v="GN20250419"/>
    <d v="2025-09-12T00:00:00"/>
    <x v="0"/>
    <x v="1"/>
    <x v="0"/>
    <s v="Community Week"/>
    <s v="Organic"/>
    <n v="36110"/>
    <n v="13103"/>
    <n v="10383"/>
    <n v="359"/>
    <n v="42"/>
    <n v="58"/>
    <n v="53"/>
    <n v="121"/>
    <m/>
    <n v="512"/>
    <n v="4.93"/>
    <n v="1.1653664644129827E-2"/>
  </r>
  <r>
    <s v="GN20250420"/>
    <d v="2025-09-12T00:00:00"/>
    <x v="1"/>
    <x v="2"/>
    <x v="4"/>
    <s v="Community Week"/>
    <s v="Organic"/>
    <n v="89495"/>
    <n v="50250"/>
    <n v="38909"/>
    <n v="652"/>
    <n v="75"/>
    <n v="66"/>
    <n v="240"/>
    <n v="198"/>
    <m/>
    <n v="1033"/>
    <n v="2.65"/>
    <n v="5.0887969364414405E-3"/>
  </r>
  <r>
    <s v="GN20250423"/>
    <d v="2025-09-14T00:00:00"/>
    <x v="2"/>
    <x v="3"/>
    <x v="3"/>
    <s v="Always On"/>
    <s v="Organic"/>
    <n v="72632"/>
    <n v="34638"/>
    <n v="26934"/>
    <n v="1607"/>
    <n v="265"/>
    <n v="244"/>
    <n v="126"/>
    <n v="350"/>
    <n v="19760"/>
    <n v="2242"/>
    <n v="8.32"/>
    <n v="1.2994727853270958E-2"/>
  </r>
  <r>
    <s v="GN20250424"/>
    <d v="2025-09-15T00:00:00"/>
    <x v="1"/>
    <x v="3"/>
    <x v="3"/>
    <s v="Summer Campaign"/>
    <s v="Organic"/>
    <n v="86513"/>
    <n v="55453"/>
    <n v="44645"/>
    <n v="799"/>
    <n v="119"/>
    <n v="104"/>
    <n v="220"/>
    <n v="305"/>
    <n v="26364"/>
    <n v="1242"/>
    <n v="2.78"/>
    <n v="6.8316720797401724E-3"/>
  </r>
  <r>
    <s v="GN20250425"/>
    <d v="2025-09-15T00:00:00"/>
    <x v="2"/>
    <x v="1"/>
    <x v="2"/>
    <s v="Summer Campaign"/>
    <s v="Organic"/>
    <n v="75525"/>
    <n v="25050"/>
    <n v="22928"/>
    <n v="1212"/>
    <n v="128"/>
    <n v="180"/>
    <n v="206"/>
    <n v="247"/>
    <m/>
    <n v="1726"/>
    <n v="7.53"/>
    <n v="1.0772854152128402E-2"/>
  </r>
  <r>
    <s v="GN20250426"/>
    <d v="2025-09-16T00:00:00"/>
    <x v="0"/>
    <x v="1"/>
    <x v="1"/>
    <s v="New Launch"/>
    <s v="Organic"/>
    <n v="34386"/>
    <n v="8215"/>
    <n v="6875"/>
    <n v="121"/>
    <n v="18"/>
    <n v="19"/>
    <n v="17"/>
    <n v="55"/>
    <m/>
    <n v="175"/>
    <n v="2.5499999999999998"/>
    <n v="8.0000000000000002E-3"/>
  </r>
  <r>
    <s v="GN20250427"/>
    <d v="2025-09-16T00:00:00"/>
    <x v="1"/>
    <x v="1"/>
    <x v="4"/>
    <s v="Summer Campaign"/>
    <s v="Organic"/>
    <n v="89201"/>
    <n v="68041"/>
    <n v="51532"/>
    <n v="1071"/>
    <n v="160"/>
    <n v="114"/>
    <n v="169"/>
    <n v="239"/>
    <m/>
    <n v="1514"/>
    <n v="2.94"/>
    <n v="4.6378949002561518E-3"/>
  </r>
  <r>
    <s v="GN20250428"/>
    <d v="2025-09-17T00:00:00"/>
    <x v="0"/>
    <x v="0"/>
    <x v="3"/>
    <s v="Always On"/>
    <s v="Organic"/>
    <n v="35260"/>
    <n v="7522"/>
    <n v="6949"/>
    <n v="125"/>
    <n v="20"/>
    <n v="17"/>
    <n v="14"/>
    <n v="105"/>
    <m/>
    <n v="176"/>
    <n v="2.5299999999999998"/>
    <n v="1.5110087782414737E-2"/>
  </r>
  <r>
    <s v="GN20250429"/>
    <d v="2025-09-18T00:00:00"/>
    <x v="1"/>
    <x v="2"/>
    <x v="3"/>
    <s v="Festive Campaign"/>
    <s v="Organic"/>
    <n v="88259"/>
    <n v="45222"/>
    <n v="29552"/>
    <n v="315"/>
    <n v="37"/>
    <n v="32"/>
    <n v="66"/>
    <n v="118"/>
    <m/>
    <n v="450"/>
    <n v="1.52"/>
    <n v="3.9929615592853279E-3"/>
  </r>
  <r>
    <s v="GN20250430"/>
    <d v="2025-09-18T00:00:00"/>
    <x v="2"/>
    <x v="1"/>
    <x v="0"/>
    <s v="Community Week"/>
    <s v="Organic"/>
    <n v="74620"/>
    <n v="31895"/>
    <n v="29063"/>
    <n v="1307"/>
    <n v="147"/>
    <n v="160"/>
    <n v="462"/>
    <n v="322"/>
    <m/>
    <n v="2076"/>
    <n v="7.14"/>
    <n v="1.1079379279496267E-2"/>
  </r>
  <r>
    <s v="GN20250431"/>
    <d v="2025-09-19T00:00:00"/>
    <x v="1"/>
    <x v="3"/>
    <x v="2"/>
    <s v="Summer Campaign"/>
    <s v="Organic"/>
    <n v="90944"/>
    <n v="68084"/>
    <n v="59146"/>
    <n v="1420"/>
    <n v="214"/>
    <n v="156"/>
    <n v="576"/>
    <n v="240"/>
    <n v="53216"/>
    <n v="2366"/>
    <n v="4"/>
    <n v="4.0577553849795419E-3"/>
  </r>
  <r>
    <s v="GN20250432"/>
    <d v="2025-09-19T00:00:00"/>
    <x v="1"/>
    <x v="1"/>
    <x v="4"/>
    <s v="Community Week"/>
    <s v="Organic"/>
    <n v="89596"/>
    <n v="53761"/>
    <n v="39201"/>
    <n v="853"/>
    <n v="159"/>
    <n v="99"/>
    <n v="284"/>
    <n v="272"/>
    <m/>
    <n v="1395"/>
    <n v="3.56"/>
    <n v="6.9385985051401752E-3"/>
  </r>
  <r>
    <s v="GN20250433"/>
    <d v="2025-09-20T00:00:00"/>
    <x v="0"/>
    <x v="2"/>
    <x v="0"/>
    <s v="Summer Campaign"/>
    <s v="Organic"/>
    <n v="34388"/>
    <n v="12047"/>
    <n v="8179"/>
    <n v="159"/>
    <n v="23"/>
    <n v="16"/>
    <n v="36"/>
    <n v="96"/>
    <m/>
    <n v="234"/>
    <n v="2.86"/>
    <n v="1.1737376207360314E-2"/>
  </r>
  <r>
    <s v="GN20250434"/>
    <d v="2025-09-21T00:00:00"/>
    <x v="1"/>
    <x v="1"/>
    <x v="1"/>
    <s v="Community Week"/>
    <s v="Organic"/>
    <n v="87627"/>
    <n v="63732"/>
    <n v="43352"/>
    <n v="408"/>
    <n v="54"/>
    <n v="56"/>
    <n v="44"/>
    <n v="137"/>
    <m/>
    <n v="562"/>
    <n v="1.3"/>
    <n v="3.1601771544565419E-3"/>
  </r>
  <r>
    <s v="GN20250435"/>
    <d v="2025-09-21T00:00:00"/>
    <x v="2"/>
    <x v="2"/>
    <x v="3"/>
    <s v="Community Week"/>
    <s v="Paid"/>
    <n v="73849"/>
    <n v="42856"/>
    <n v="30130"/>
    <n v="894"/>
    <n v="168"/>
    <n v="103"/>
    <n v="137"/>
    <n v="386"/>
    <m/>
    <n v="1302"/>
    <n v="4.32"/>
    <n v="1.2811151676070361E-2"/>
  </r>
  <r>
    <s v="GN20250436"/>
    <d v="2025-09-22T00:00:00"/>
    <x v="1"/>
    <x v="2"/>
    <x v="0"/>
    <m/>
    <s v="Organic"/>
    <n v="89051"/>
    <n v="47321"/>
    <n v="31679"/>
    <n v="526"/>
    <n v="92"/>
    <n v="54"/>
    <n v="39"/>
    <n v="117"/>
    <m/>
    <n v="711"/>
    <n v="2.2400000000000002"/>
    <n v="3.6932983995706936E-3"/>
  </r>
  <r>
    <s v="GN20250437"/>
    <d v="2025-09-22T00:00:00"/>
    <x v="0"/>
    <x v="2"/>
    <x v="4"/>
    <s v="Summer Campaign"/>
    <s v="Paid"/>
    <n v="33055"/>
    <n v="18030"/>
    <n v="15020"/>
    <n v="443"/>
    <n v="53"/>
    <n v="63"/>
    <n v="38"/>
    <n v="252"/>
    <m/>
    <n v="597"/>
    <n v="3.97"/>
    <n v="1.6777629826897469E-2"/>
  </r>
  <r>
    <s v="GN20250438"/>
    <d v="2025-09-23T00:00:00"/>
    <x v="2"/>
    <x v="2"/>
    <x v="1"/>
    <s v="Always On"/>
    <s v="Organic"/>
    <n v="75154"/>
    <n v="30415"/>
    <n v="19949"/>
    <n v="482"/>
    <n v="83"/>
    <n v="69"/>
    <n v="53"/>
    <n v="168"/>
    <m/>
    <n v="687"/>
    <n v="3.44"/>
    <n v="8.4214747606396311E-3"/>
  </r>
  <r>
    <s v="GN20250439"/>
    <d v="2025-09-24T00:00:00"/>
    <x v="2"/>
    <x v="2"/>
    <x v="4"/>
    <s v="Always On"/>
    <s v="Paid"/>
    <n v="73986"/>
    <n v="51399"/>
    <n v="44894"/>
    <n v="1433"/>
    <n v="228"/>
    <n v="166"/>
    <n v="135"/>
    <n v="484"/>
    <m/>
    <n v="1962"/>
    <n v="4.37"/>
    <n v="1.0780950683833029E-2"/>
  </r>
  <r>
    <s v="GN20250440"/>
    <d v="2025-09-24T00:00:00"/>
    <x v="0"/>
    <x v="1"/>
    <x v="3"/>
    <s v="New Launch"/>
    <s v="Paid"/>
    <n v="34386"/>
    <n v="11153"/>
    <n v="9342"/>
    <n v="278"/>
    <n v="40"/>
    <n v="40"/>
    <n v="77"/>
    <n v="171"/>
    <m/>
    <n v="435"/>
    <n v="4.66"/>
    <n v="1.8304431599229287E-2"/>
  </r>
  <r>
    <s v="GN20250441"/>
    <d v="2025-09-25T00:00:00"/>
    <x v="1"/>
    <x v="3"/>
    <x v="0"/>
    <s v="Community Week"/>
    <s v="Paid"/>
    <n v="88463"/>
    <n v="96558"/>
    <n v="73173"/>
    <n v="1685"/>
    <n v="219"/>
    <n v="272"/>
    <n v="369"/>
    <n v="298"/>
    <n v="53406"/>
    <n v="2545"/>
    <n v="3.48"/>
    <n v="4.0725404179137109E-3"/>
  </r>
  <r>
    <s v="GN20250442"/>
    <d v="2025-09-25T00:00:00"/>
    <x v="2"/>
    <x v="3"/>
    <x v="3"/>
    <s v="Always On"/>
    <s v="Paid"/>
    <n v="75142"/>
    <n v="59778"/>
    <n v="54488"/>
    <n v="2533"/>
    <n v="330"/>
    <n v="404"/>
    <n v="860"/>
    <n v="597"/>
    <n v="39789"/>
    <n v="4127"/>
    <n v="7.57"/>
    <n v="1.0956540889737189E-2"/>
  </r>
  <r>
    <s v="GN20250443"/>
    <d v="2025-09-26T00:00:00"/>
    <x v="2"/>
    <x v="3"/>
    <x v="4"/>
    <s v="New Launch"/>
    <s v="Paid"/>
    <n v="73211"/>
    <n v="67952"/>
    <n v="48899"/>
    <n v="3387"/>
    <n v="494"/>
    <n v="340"/>
    <n v="585"/>
    <n v="694"/>
    <n v="43074"/>
    <n v="4806"/>
    <n v="9.83"/>
    <n v="1.4192519274422789E-2"/>
  </r>
  <r>
    <s v="GN20250444"/>
    <d v="2025-09-27T00:00:00"/>
    <x v="0"/>
    <x v="0"/>
    <x v="3"/>
    <s v="New Launch"/>
    <s v="Organic"/>
    <n v="34788"/>
    <n v="5672"/>
    <n v="4919"/>
    <n v="132"/>
    <n v="14"/>
    <n v="18"/>
    <n v="9"/>
    <n v="73"/>
    <m/>
    <n v="173"/>
    <n v="3.52"/>
    <n v="1.4840414718438708E-2"/>
  </r>
  <r>
    <s v="GN20250445"/>
    <d v="2025-09-27T00:00:00"/>
    <x v="2"/>
    <x v="2"/>
    <x v="4"/>
    <s v="Summer Campaign"/>
    <s v="Organic"/>
    <n v="73252"/>
    <n v="26246"/>
    <n v="23933"/>
    <n v="1192"/>
    <n v="184"/>
    <n v="191"/>
    <n v="107"/>
    <n v="267"/>
    <m/>
    <n v="1674"/>
    <n v="6.99"/>
    <n v="1.1156144235992144E-2"/>
  </r>
  <r>
    <s v="GN20250446"/>
    <d v="2025-09-28T00:00:00"/>
    <x v="1"/>
    <x v="2"/>
    <x v="0"/>
    <s v="Summer Campaign"/>
    <s v="Organic"/>
    <n v="89140"/>
    <n v="32382"/>
    <n v="28023"/>
    <n v="439"/>
    <n v="83"/>
    <n v="47"/>
    <n v="60"/>
    <n v="116"/>
    <m/>
    <n v="629"/>
    <n v="2.2400000000000002"/>
    <n v="4.1394568747100593E-3"/>
  </r>
  <r>
    <s v="GN20250447"/>
    <d v="2025-09-29T00:00:00"/>
    <x v="0"/>
    <x v="2"/>
    <x v="1"/>
    <s v="New Launch"/>
    <s v="Paid"/>
    <n v="35846"/>
    <n v="15181"/>
    <n v="9990"/>
    <n v="150"/>
    <n v="18"/>
    <n v="14"/>
    <n v="10"/>
    <n v="97"/>
    <m/>
    <n v="192"/>
    <n v="1.92"/>
    <n v="9.7097097097097098E-3"/>
  </r>
  <r>
    <s v="GN20250448"/>
    <d v="2025-09-29T00:00:00"/>
    <x v="1"/>
    <x v="0"/>
    <x v="1"/>
    <s v="Always On"/>
    <s v="Paid"/>
    <n v="88635"/>
    <n v="48926"/>
    <n v="37094"/>
    <n v="310"/>
    <n v="49"/>
    <n v="30"/>
    <n v="37"/>
    <n v="201"/>
    <m/>
    <n v="426"/>
    <n v="1.1499999999999999"/>
    <n v="5.4186660915511945E-3"/>
  </r>
  <r>
    <s v="GN20250449"/>
    <d v="2025-09-30T00:00:00"/>
    <x v="2"/>
    <x v="3"/>
    <x v="4"/>
    <s v="Always On"/>
    <s v="Organic"/>
    <n v="74360"/>
    <n v="55363"/>
    <n v="40296"/>
    <n v="2291"/>
    <n v="294"/>
    <n v="384"/>
    <n v="912"/>
    <n v="408"/>
    <n v="26679"/>
    <n v="3881"/>
    <n v="9.6300000000000008"/>
    <n v="1.0125074449076831E-2"/>
  </r>
  <r>
    <s v="GN20250450"/>
    <d v="2025-09-30T00:00:00"/>
    <x v="2"/>
    <x v="2"/>
    <x v="1"/>
    <s v="New Launch"/>
    <s v="Paid"/>
    <n v="74021"/>
    <n v="52314"/>
    <n v="40763"/>
    <n v="731"/>
    <n v="93"/>
    <n v="109"/>
    <n v="41"/>
    <n v="342"/>
    <m/>
    <n v="974"/>
    <n v="2.39"/>
    <n v="8.3899614846797334E-3"/>
  </r>
  <r>
    <s v="GN20250451"/>
    <d v="2025-10-01T00:00:00"/>
    <x v="2"/>
    <x v="1"/>
    <x v="1"/>
    <s v="Always On"/>
    <s v="Organic"/>
    <n v="73679"/>
    <n v="40721"/>
    <n v="30658"/>
    <n v="925"/>
    <n v="158"/>
    <n v="98"/>
    <n v="95"/>
    <n v="199"/>
    <m/>
    <n v="1276"/>
    <n v="4.16"/>
    <n v="6.4909648378889684E-3"/>
  </r>
  <r>
    <s v="GN20250452"/>
    <d v="2025-10-02T00:00:00"/>
    <x v="1"/>
    <x v="2"/>
    <x v="4"/>
    <s v="New Launch"/>
    <s v="Organic"/>
    <n v="89860"/>
    <n v="67113"/>
    <n v="45791"/>
    <n v="589"/>
    <n v="99"/>
    <n v="89"/>
    <n v="90"/>
    <n v="250"/>
    <m/>
    <n v="867"/>
    <n v="1.89"/>
    <n v="5.459588128671573E-3"/>
  </r>
  <r>
    <s v="GN20250453"/>
    <d v="2025-10-02T00:00:00"/>
    <x v="2"/>
    <x v="1"/>
    <x v="2"/>
    <s v="Community Week"/>
    <s v="Organic"/>
    <n v="77344"/>
    <n v="43159"/>
    <n v="34050"/>
    <n v="1746"/>
    <n v="218"/>
    <n v="211"/>
    <n v="392"/>
    <n v="388"/>
    <m/>
    <n v="2567"/>
    <n v="7.54"/>
    <n v="1.1395007342143906E-2"/>
  </r>
  <r>
    <s v="GN20250454"/>
    <d v="2025-10-03T00:00:00"/>
    <x v="1"/>
    <x v="0"/>
    <x v="3"/>
    <s v="Festive Campaign"/>
    <s v="Organic"/>
    <n v="88871"/>
    <n v="29730"/>
    <n v="23104"/>
    <n v="246"/>
    <n v="44"/>
    <n v="33"/>
    <n v="15"/>
    <n v="105"/>
    <m/>
    <n v="338"/>
    <n v="2.92"/>
    <n v="4.5446675900277008E-3"/>
  </r>
  <r>
    <s v="GN20250455"/>
    <d v="2025-10-03T00:00:00"/>
    <x v="2"/>
    <x v="0"/>
    <x v="2"/>
    <s v="Summer Campaign"/>
    <s v="Paid"/>
    <n v="74809"/>
    <n v="45412"/>
    <n v="31531"/>
    <n v="993"/>
    <n v="111"/>
    <n v="160"/>
    <n v="100"/>
    <n v="326"/>
    <m/>
    <n v="1364"/>
    <n v="4.33"/>
    <n v="1.0339031429386953E-2"/>
  </r>
  <r>
    <s v="GN20250456"/>
    <d v="2025-10-04T00:00:00"/>
    <x v="2"/>
    <x v="3"/>
    <x v="2"/>
    <s v="Community Week"/>
    <s v="Organic"/>
    <n v="73032"/>
    <n v="30301"/>
    <n v="27701"/>
    <n v="1242"/>
    <n v="159"/>
    <n v="107"/>
    <n v="265"/>
    <n v="240"/>
    <n v="21845"/>
    <n v="1773"/>
    <n v="6.4"/>
    <n v="8.6639471499223852E-3"/>
  </r>
  <r>
    <s v="GN20250457"/>
    <d v="2025-10-05T00:00:00"/>
    <x v="2"/>
    <x v="3"/>
    <x v="4"/>
    <s v="Community Week"/>
    <s v="Paid"/>
    <n v="74076"/>
    <n v="77798"/>
    <n v="52748"/>
    <n v="3532"/>
    <n v="388"/>
    <n v="416"/>
    <n v="1119"/>
    <n v="517"/>
    <n v="33609"/>
    <n v="5455"/>
    <n v="10.34"/>
    <n v="9.8013194813073475E-3"/>
  </r>
  <r>
    <s v="GN20250458"/>
    <d v="2025-10-05T00:00:00"/>
    <x v="1"/>
    <x v="2"/>
    <x v="4"/>
    <s v="Always On"/>
    <s v="Paid"/>
    <n v="89750"/>
    <n v="78203"/>
    <n v="57120"/>
    <n v="992"/>
    <n v="161"/>
    <n v="168"/>
    <n v="192"/>
    <n v="348"/>
    <m/>
    <n v="1513"/>
    <n v="2.65"/>
    <n v="6.092436974789916E-3"/>
  </r>
  <r>
    <s v="GN20250459"/>
    <d v="2025-10-06T00:00:00"/>
    <x v="2"/>
    <x v="3"/>
    <x v="0"/>
    <s v="Festive Campaign"/>
    <s v="Paid"/>
    <n v="76796"/>
    <n v="65077"/>
    <n v="57412"/>
    <n v="2328"/>
    <n v="429"/>
    <n v="240"/>
    <n v="497"/>
    <n v="483"/>
    <n v="50863"/>
    <n v="3494"/>
    <n v="6.09"/>
    <n v="8.4128753570682085E-3"/>
  </r>
  <r>
    <s v="GN20250460"/>
    <d v="2025-10-06T00:00:00"/>
    <x v="2"/>
    <x v="0"/>
    <x v="4"/>
    <s v="Festive Campaign"/>
    <s v="Organic"/>
    <n v="74881"/>
    <n v="31504"/>
    <n v="27010"/>
    <n v="919"/>
    <n v="137"/>
    <n v="135"/>
    <n v="155"/>
    <n v="437"/>
    <m/>
    <n v="1346"/>
    <n v="4.9800000000000004"/>
    <n v="1.6179192891521657E-2"/>
  </r>
  <r>
    <s v="GN20250461"/>
    <d v="2025-10-07T00:00:00"/>
    <x v="2"/>
    <x v="3"/>
    <x v="3"/>
    <s v="Community Week"/>
    <s v="Organic"/>
    <n v="75308"/>
    <n v="36929"/>
    <n v="31110"/>
    <n v="1177"/>
    <n v="166"/>
    <n v="166"/>
    <n v="238"/>
    <n v="471"/>
    <n v="19006"/>
    <n v="1747"/>
    <n v="5.62"/>
    <n v="1.5139826422372228E-2"/>
  </r>
  <r>
    <s v="GN20250462"/>
    <d v="2025-10-08T00:00:00"/>
    <x v="2"/>
    <x v="2"/>
    <x v="4"/>
    <s v="New Launch"/>
    <s v="Organic"/>
    <n v="74322"/>
    <n v="24053"/>
    <n v="19043"/>
    <n v="838"/>
    <n v="127"/>
    <n v="92"/>
    <n v="84"/>
    <n v="262"/>
    <m/>
    <n v="1141"/>
    <n v="5.99"/>
    <n v="1.3758336396576169E-2"/>
  </r>
  <r>
    <s v="GN20250463"/>
    <d v="2025-10-08T00:00:00"/>
    <x v="1"/>
    <x v="3"/>
    <x v="0"/>
    <s v="Community Week"/>
    <s v="Organic"/>
    <n v="89071"/>
    <n v="81025"/>
    <n v="59922"/>
    <n v="1364"/>
    <n v="196"/>
    <n v="173"/>
    <n v="259"/>
    <n v="342"/>
    <n v="39562"/>
    <n v="1992"/>
    <n v="3.32"/>
    <n v="5.7074196455392011E-3"/>
  </r>
  <r>
    <s v="GN20250464"/>
    <d v="2025-10-09T00:00:00"/>
    <x v="1"/>
    <x v="1"/>
    <x v="1"/>
    <s v="Always On"/>
    <s v="Paid"/>
    <n v="88671"/>
    <n v="74794"/>
    <n v="68997"/>
    <n v="931"/>
    <n v="152"/>
    <n v="137"/>
    <n v="16"/>
    <n v="233"/>
    <m/>
    <n v="1236"/>
    <n v="1.79"/>
    <n v="3.3769584184819628E-3"/>
  </r>
  <r>
    <s v="GN20250465"/>
    <d v="2025-10-09T00:00:00"/>
    <x v="1"/>
    <x v="3"/>
    <x v="1"/>
    <s v="Festive Campaign"/>
    <s v="Organic"/>
    <n v="86753"/>
    <n v="55785"/>
    <n v="43232"/>
    <n v="720"/>
    <n v="96"/>
    <n v="73"/>
    <n v="69"/>
    <n v="168"/>
    <n v="30257"/>
    <n v="958"/>
    <n v="2.2200000000000002"/>
    <n v="3.8860103626943004E-3"/>
  </r>
  <r>
    <s v="GN20250466"/>
    <d v="2025-10-10T00:00:00"/>
    <x v="0"/>
    <x v="3"/>
    <x v="2"/>
    <s v="Community Week"/>
    <s v="Organic"/>
    <n v="34193"/>
    <n v="13414"/>
    <n v="9874"/>
    <n v="327"/>
    <n v="55"/>
    <n v="61"/>
    <n v="97"/>
    <n v="86"/>
    <n v="6748"/>
    <n v="540"/>
    <n v="5.47"/>
    <n v="8.7097427587603804E-3"/>
  </r>
  <r>
    <s v="GN20250467"/>
    <d v="2025-10-11T00:00:00"/>
    <x v="0"/>
    <x v="0"/>
    <x v="2"/>
    <s v="New Launch"/>
    <s v="Organic"/>
    <n v="36713"/>
    <n v="11428"/>
    <n v="8140"/>
    <n v="141"/>
    <n v="26"/>
    <n v="24"/>
    <n v="20"/>
    <n v="104"/>
    <m/>
    <n v="211"/>
    <n v="2.59"/>
    <n v="1.2776412776412777E-2"/>
  </r>
  <r>
    <s v="GN20250468"/>
    <d v="2025-10-11T00:00:00"/>
    <x v="1"/>
    <x v="1"/>
    <x v="1"/>
    <s v="New Launch"/>
    <s v="Organic"/>
    <n v="87328"/>
    <n v="48393"/>
    <n v="43809"/>
    <n v="527"/>
    <n v="93"/>
    <n v="89"/>
    <n v="90"/>
    <n v="212"/>
    <m/>
    <n v="799"/>
    <n v="1.82"/>
    <n v="4.8391882946426535E-3"/>
  </r>
  <r>
    <s v="GN20250469"/>
    <d v="2025-10-12T00:00:00"/>
    <x v="2"/>
    <x v="3"/>
    <x v="1"/>
    <s v="Always On"/>
    <s v="Organic"/>
    <n v="72524"/>
    <n v="43726"/>
    <n v="35676"/>
    <n v="1449"/>
    <n v="142"/>
    <n v="164"/>
    <n v="160"/>
    <n v="277"/>
    <n v="26553"/>
    <n v="1915"/>
    <n v="5.37"/>
    <n v="7.7643233546361703E-3"/>
  </r>
  <r>
    <s v="GN20250470"/>
    <d v="2025-10-13T00:00:00"/>
    <x v="2"/>
    <x v="3"/>
    <x v="2"/>
    <s v="Community Week"/>
    <s v="Organic"/>
    <n v="73755"/>
    <n v="45617"/>
    <n v="32238"/>
    <n v="1300"/>
    <n v="209"/>
    <n v="225"/>
    <n v="400"/>
    <n v="311"/>
    <n v="26154"/>
    <n v="2134"/>
    <n v="6.62"/>
    <n v="9.6470004342701157E-3"/>
  </r>
  <r>
    <s v="GN20250471"/>
    <d v="2025-10-13T00:00:00"/>
    <x v="1"/>
    <x v="0"/>
    <x v="3"/>
    <s v="New Launch"/>
    <s v="Organic"/>
    <n v="90309"/>
    <n v="27507"/>
    <n v="23715"/>
    <n v="243"/>
    <n v="27"/>
    <n v="45"/>
    <n v="43"/>
    <n v="157"/>
    <m/>
    <n v="358"/>
    <n v="1.51"/>
    <n v="6.6202825216107953E-3"/>
  </r>
  <r>
    <s v="GN20250472"/>
    <d v="2025-10-14T00:00:00"/>
    <x v="2"/>
    <x v="3"/>
    <x v="1"/>
    <s v="Festive Campaign"/>
    <s v="Organic"/>
    <n v="74124"/>
    <n v="51267"/>
    <n v="39038"/>
    <n v="1456"/>
    <n v="217"/>
    <n v="228"/>
    <n v="324"/>
    <n v="349"/>
    <n v="22111"/>
    <n v="2225"/>
    <n v="5.7"/>
    <n v="8.9400071724985916E-3"/>
  </r>
  <r>
    <s v="GN20250473"/>
    <d v="2025-10-14T00:00:00"/>
    <x v="1"/>
    <x v="3"/>
    <x v="4"/>
    <s v="New Launch"/>
    <s v="Organic"/>
    <n v="88004"/>
    <n v="94039"/>
    <n v="62616"/>
    <n v="1564"/>
    <n v="295"/>
    <n v="143"/>
    <n v="612"/>
    <n v="417"/>
    <n v="38422"/>
    <n v="2614"/>
    <n v="4.17"/>
    <n v="6.6596397087006513E-3"/>
  </r>
  <r>
    <s v="GN20250474"/>
    <d v="2025-10-15T00:00:00"/>
    <x v="2"/>
    <x v="3"/>
    <x v="0"/>
    <s v="Festive Campaign"/>
    <s v="Organic"/>
    <n v="74906"/>
    <n v="34862"/>
    <n v="25108"/>
    <n v="1655"/>
    <n v="183"/>
    <n v="221"/>
    <n v="195"/>
    <n v="332"/>
    <n v="18898"/>
    <n v="2254"/>
    <n v="8.98"/>
    <n v="1.3222877170622909E-2"/>
  </r>
  <r>
    <s v="GN20250475"/>
    <d v="2025-10-16T00:00:00"/>
    <x v="2"/>
    <x v="1"/>
    <x v="3"/>
    <s v="Summer Campaign"/>
    <s v="Organic"/>
    <n v="73771"/>
    <n v="34365"/>
    <n v="25605"/>
    <n v="969"/>
    <n v="124"/>
    <n v="100"/>
    <n v="159"/>
    <n v="253"/>
    <m/>
    <n v="1352"/>
    <n v="5.28"/>
    <n v="9.8808826401093532E-3"/>
  </r>
  <r>
    <s v="GN20250476"/>
    <d v="2025-10-16T00:00:00"/>
    <x v="1"/>
    <x v="3"/>
    <x v="1"/>
    <s v="Summer Campaign"/>
    <s v="Paid"/>
    <n v="87344"/>
    <n v="130152"/>
    <n v="91387"/>
    <n v="847"/>
    <n v="126"/>
    <n v="96"/>
    <n v="252"/>
    <n v="331"/>
    <n v="55369"/>
    <n v="1321"/>
    <n v="1.45"/>
    <n v="3.6219593596463393E-3"/>
  </r>
  <r>
    <s v="GN20250477"/>
    <d v="2025-10-17T00:00:00"/>
    <x v="2"/>
    <x v="1"/>
    <x v="1"/>
    <s v="Community Week"/>
    <s v="Paid"/>
    <n v="73123"/>
    <n v="45330"/>
    <n v="39314"/>
    <n v="1155"/>
    <n v="133"/>
    <n v="120"/>
    <n v="248"/>
    <n v="344"/>
    <m/>
    <n v="1656"/>
    <n v="4.21"/>
    <n v="8.7500635905784201E-3"/>
  </r>
  <r>
    <s v="GN20250478"/>
    <d v="2025-10-17T00:00:00"/>
    <x v="2"/>
    <x v="3"/>
    <x v="3"/>
    <s v="New Launch"/>
    <s v="Organic"/>
    <n v="77294"/>
    <n v="35037"/>
    <n v="30536"/>
    <n v="1121"/>
    <n v="147"/>
    <n v="158"/>
    <n v="389"/>
    <n v="356"/>
    <n v="26906"/>
    <n v="1815"/>
    <n v="5.94"/>
    <n v="1.1658370447995808E-2"/>
  </r>
  <r>
    <s v="GN20250479"/>
    <d v="2025-10-18T00:00:00"/>
    <x v="1"/>
    <x v="0"/>
    <x v="0"/>
    <s v="Festive Campaign"/>
    <s v="Organic"/>
    <n v="91884"/>
    <n v="37810"/>
    <n v="32668"/>
    <n v="349"/>
    <n v="48"/>
    <n v="57"/>
    <n v="39"/>
    <n v="213"/>
    <m/>
    <n v="493"/>
    <n v="1.51"/>
    <n v="6.5201420350189786E-3"/>
  </r>
  <r>
    <s v="GN20250480"/>
    <d v="2025-10-19T00:00:00"/>
    <x v="2"/>
    <x v="2"/>
    <x v="1"/>
    <s v="New Launch"/>
    <s v="Organic"/>
    <n v="72779"/>
    <n v="22870"/>
    <n v="20909"/>
    <n v="364"/>
    <n v="43"/>
    <n v="52"/>
    <n v="50"/>
    <n v="120"/>
    <m/>
    <n v="509"/>
    <n v="2.4300000000000002"/>
    <n v="5.7391553876321201E-3"/>
  </r>
  <r>
    <s v="GN20250481"/>
    <d v="2025-10-19T00:00:00"/>
    <x v="1"/>
    <x v="0"/>
    <x v="4"/>
    <s v="Community Week"/>
    <s v="Organic"/>
    <n v="90134"/>
    <n v="49743"/>
    <n v="35002"/>
    <n v="496"/>
    <n v="57"/>
    <n v="47"/>
    <n v="147"/>
    <n v="222"/>
    <m/>
    <n v="747"/>
    <n v="2.13"/>
    <n v="6.3424947145877377E-3"/>
  </r>
  <r>
    <s v="GN20250482"/>
    <d v="2025-10-20T00:00:00"/>
    <x v="2"/>
    <x v="1"/>
    <x v="0"/>
    <s v="New Launch"/>
    <s v="Organic"/>
    <n v="74605"/>
    <n v="30110"/>
    <n v="23663"/>
    <n v="974"/>
    <n v="174"/>
    <n v="87"/>
    <n v="236"/>
    <n v="259"/>
    <m/>
    <n v="1471"/>
    <n v="6.22"/>
    <n v="1.0945357731479526E-2"/>
  </r>
  <r>
    <s v="GN20250483"/>
    <d v="2025-10-20T00:00:00"/>
    <x v="2"/>
    <x v="1"/>
    <x v="3"/>
    <s v="Summer Campaign"/>
    <s v="Organic"/>
    <n v="74440"/>
    <n v="26407"/>
    <n v="20640"/>
    <n v="815"/>
    <n v="121"/>
    <n v="125"/>
    <n v="28"/>
    <n v="252"/>
    <m/>
    <n v="1089"/>
    <n v="5.28"/>
    <n v="1.2209302325581395E-2"/>
  </r>
  <r>
    <s v="GN20250484"/>
    <d v="2025-10-21T00:00:00"/>
    <x v="0"/>
    <x v="3"/>
    <x v="3"/>
    <s v="Always On"/>
    <s v="Organic"/>
    <n v="33905"/>
    <n v="15601"/>
    <n v="11111"/>
    <n v="366"/>
    <n v="59"/>
    <n v="45"/>
    <n v="30"/>
    <n v="152"/>
    <n v="7497"/>
    <n v="500"/>
    <n v="4.5"/>
    <n v="1.3680136801368014E-2"/>
  </r>
  <r>
    <s v="GN20250485"/>
    <d v="2025-10-22T00:00:00"/>
    <x v="1"/>
    <x v="1"/>
    <x v="4"/>
    <s v="Community Week"/>
    <s v="Organic"/>
    <n v="90774"/>
    <n v="55533"/>
    <n v="44790"/>
    <n v="1217"/>
    <n v="203"/>
    <n v="161"/>
    <n v="100"/>
    <n v="217"/>
    <m/>
    <n v="1681"/>
    <n v="3.75"/>
    <n v="4.8448314355883006E-3"/>
  </r>
  <r>
    <s v="GN20250486"/>
    <d v="2025-10-22T00:00:00"/>
    <x v="1"/>
    <x v="0"/>
    <x v="1"/>
    <s v="Always On"/>
    <s v="Organic"/>
    <n v="91070"/>
    <n v="45233"/>
    <n v="29290"/>
    <n v="192"/>
    <n v="29"/>
    <n v="33"/>
    <n v="22"/>
    <n v="125"/>
    <m/>
    <n v="276"/>
    <n v="0.94"/>
    <n v="4.2676681461249573E-3"/>
  </r>
  <r>
    <s v="GN20250487"/>
    <d v="2025-10-23T00:00:00"/>
    <x v="1"/>
    <x v="3"/>
    <x v="4"/>
    <s v="New Launch"/>
    <s v="Organic"/>
    <n v="90271"/>
    <n v="86404"/>
    <n v="66420"/>
    <n v="1963"/>
    <n v="277"/>
    <n v="292"/>
    <n v="644"/>
    <n v="308"/>
    <n v="49626"/>
    <n v="3176"/>
    <n v="4.78"/>
    <n v="4.6371574826859384E-3"/>
  </r>
  <r>
    <s v="GN20250488"/>
    <d v="2025-10-23T00:00:00"/>
    <x v="1"/>
    <x v="2"/>
    <x v="0"/>
    <s v="Summer Campaign"/>
    <s v="Organic"/>
    <n v="90501"/>
    <n v="39656"/>
    <n v="29418"/>
    <n v="343"/>
    <n v="49"/>
    <n v="49"/>
    <n v="28"/>
    <n v="153"/>
    <m/>
    <n v="469"/>
    <n v="1.59"/>
    <n v="5.2008974097491334E-3"/>
  </r>
  <r>
    <s v="GN20250489"/>
    <d v="2025-10-24T00:00:00"/>
    <x v="2"/>
    <x v="3"/>
    <x v="1"/>
    <m/>
    <s v="Organic"/>
    <n v="75476"/>
    <n v="33599"/>
    <n v="28444"/>
    <n v="751"/>
    <n v="85"/>
    <n v="96"/>
    <n v="158"/>
    <n v="281"/>
    <n v="16902"/>
    <n v="1090"/>
    <n v="3.83"/>
    <n v="9.8790606103220362E-3"/>
  </r>
  <r>
    <s v="GN20250490"/>
    <d v="2025-10-25T00:00:00"/>
    <x v="2"/>
    <x v="1"/>
    <x v="3"/>
    <s v="Festive Campaign"/>
    <s v="Organic"/>
    <n v="75509"/>
    <n v="25684"/>
    <n v="22294"/>
    <n v="1015"/>
    <n v="140"/>
    <n v="91"/>
    <n v="220"/>
    <n v="282"/>
    <m/>
    <n v="1466"/>
    <n v="6.58"/>
    <n v="1.2649143267246792E-2"/>
  </r>
  <r>
    <s v="GN20250491"/>
    <d v="2025-10-25T00:00:00"/>
    <x v="1"/>
    <x v="3"/>
    <x v="0"/>
    <s v="Summer Campaign"/>
    <s v="Organic"/>
    <n v="89595"/>
    <n v="58526"/>
    <n v="53393"/>
    <n v="1359"/>
    <n v="207"/>
    <n v="177"/>
    <n v="294"/>
    <n v="261"/>
    <n v="43372"/>
    <n v="2037"/>
    <n v="3.82"/>
    <n v="4.8882812353679321E-3"/>
  </r>
  <r>
    <s v="GN20250492"/>
    <d v="2025-10-26T00:00:00"/>
    <x v="2"/>
    <x v="2"/>
    <x v="4"/>
    <s v="New Launch"/>
    <s v="Organic"/>
    <n v="75002"/>
    <n v="34010"/>
    <n v="23963"/>
    <n v="1096"/>
    <n v="116"/>
    <n v="162"/>
    <n v="244"/>
    <n v="326"/>
    <m/>
    <n v="1618"/>
    <n v="6.75"/>
    <n v="1.3604306639402411E-2"/>
  </r>
  <r>
    <s v="GN20250493"/>
    <d v="2025-10-26T00:00:00"/>
    <x v="0"/>
    <x v="3"/>
    <x v="1"/>
    <s v="Community Week"/>
    <s v="Paid"/>
    <n v="38247"/>
    <n v="19129"/>
    <n v="15584"/>
    <n v="306"/>
    <n v="40"/>
    <n v="47"/>
    <n v="43"/>
    <n v="166"/>
    <n v="8649"/>
    <n v="436"/>
    <n v="2.8"/>
    <n v="1.0651950718685832E-2"/>
  </r>
  <r>
    <s v="GN20250494"/>
    <d v="2025-10-27T00:00:00"/>
    <x v="0"/>
    <x v="1"/>
    <x v="1"/>
    <s v="New Launch"/>
    <s v="Organic"/>
    <n v="35503"/>
    <n v="12322"/>
    <n v="10978"/>
    <n v="221"/>
    <n v="34"/>
    <n v="23"/>
    <n v="29"/>
    <n v="95"/>
    <m/>
    <n v="307"/>
    <n v="2.8"/>
    <n v="8.6536709783202777E-3"/>
  </r>
  <r>
    <s v="GN20250495"/>
    <d v="2025-10-28T00:00:00"/>
    <x v="2"/>
    <x v="3"/>
    <x v="1"/>
    <s v="Always On"/>
    <s v="Paid"/>
    <n v="75657"/>
    <n v="64351"/>
    <n v="57863"/>
    <n v="1931"/>
    <n v="221"/>
    <n v="233"/>
    <n v="423"/>
    <n v="578"/>
    <n v="39387"/>
    <n v="2808"/>
    <n v="4.8499999999999996"/>
    <n v="9.9891122133314893E-3"/>
  </r>
  <r>
    <s v="GN20250496"/>
    <d v="2025-10-28T00:00:00"/>
    <x v="2"/>
    <x v="3"/>
    <x v="2"/>
    <s v="Always On"/>
    <s v="Organic"/>
    <n v="76234"/>
    <n v="60528"/>
    <n v="39151"/>
    <n v="1892"/>
    <n v="210"/>
    <n v="314"/>
    <n v="388"/>
    <n v="420"/>
    <n v="29891"/>
    <n v="2804"/>
    <n v="7.16"/>
    <n v="1.072769533345253E-2"/>
  </r>
  <r>
    <s v="GN20250497"/>
    <d v="2025-10-29T00:00:00"/>
    <x v="2"/>
    <x v="3"/>
    <x v="2"/>
    <s v="Community Week"/>
    <s v="Organic"/>
    <n v="74744"/>
    <n v="55932"/>
    <n v="38348"/>
    <n v="1969"/>
    <n v="322"/>
    <n v="202"/>
    <n v="132"/>
    <n v="352"/>
    <n v="27098"/>
    <n v="2625"/>
    <n v="6.85"/>
    <n v="9.1790966934390313E-3"/>
  </r>
  <r>
    <s v="GN20250498"/>
    <d v="2025-10-30T00:00:00"/>
    <x v="0"/>
    <x v="0"/>
    <x v="0"/>
    <s v="Summer Campaign"/>
    <s v="Organic"/>
    <n v="36245"/>
    <n v="10481"/>
    <n v="7185"/>
    <n v="145"/>
    <n v="23"/>
    <n v="14"/>
    <n v="34"/>
    <n v="129"/>
    <m/>
    <n v="216"/>
    <n v="3.01"/>
    <n v="1.7954070981210855E-2"/>
  </r>
  <r>
    <s v="GN20250499"/>
    <d v="2025-10-30T00:00:00"/>
    <x v="2"/>
    <x v="3"/>
    <x v="4"/>
    <s v="New Launch"/>
    <s v="Organic"/>
    <n v="74237"/>
    <n v="46181"/>
    <n v="33849"/>
    <n v="2538"/>
    <n v="294"/>
    <n v="373"/>
    <n v="368"/>
    <n v="465"/>
    <n v="27903"/>
    <n v="3573"/>
    <n v="10.56"/>
    <n v="1.3737481166356466E-2"/>
  </r>
  <r>
    <s v="GN20250500"/>
    <d v="2025-10-31T00:00:00"/>
    <x v="1"/>
    <x v="2"/>
    <x v="2"/>
    <s v="Festive Campaign"/>
    <s v="Organic"/>
    <n v="92025"/>
    <n v="45399"/>
    <n v="29590"/>
    <n v="349"/>
    <n v="43"/>
    <n v="38"/>
    <n v="32"/>
    <n v="88"/>
    <m/>
    <n v="462"/>
    <n v="1.56"/>
    <n v="2.9739776951672862E-3"/>
  </r>
  <r>
    <s v="GN20250501"/>
    <d v="2025-10-31T00:00:00"/>
    <x v="2"/>
    <x v="3"/>
    <x v="4"/>
    <s v="Festive Campaign"/>
    <s v="Organic"/>
    <n v="73627"/>
    <n v="47651"/>
    <n v="37841"/>
    <n v="1890"/>
    <n v="347"/>
    <n v="199"/>
    <n v="491"/>
    <n v="617"/>
    <n v="30425"/>
    <n v="2927"/>
    <n v="7.73"/>
    <n v="1.6305065933775533E-2"/>
  </r>
  <r>
    <s v="GN20250502"/>
    <d v="2025-11-01T00:00:00"/>
    <x v="1"/>
    <x v="1"/>
    <x v="2"/>
    <s v="New Launch"/>
    <s v="Organic"/>
    <n v="90365"/>
    <n v="57338"/>
    <n v="46855"/>
    <n v="817"/>
    <n v="141"/>
    <n v="109"/>
    <n v="206"/>
    <n v="174"/>
    <m/>
    <n v="1273"/>
    <n v="2.72"/>
    <n v="3.7135844627040871E-3"/>
  </r>
  <r>
    <s v="GN20250503"/>
    <d v="2025-11-02T00:00:00"/>
    <x v="0"/>
    <x v="0"/>
    <x v="3"/>
    <s v="New Launch"/>
    <s v="Organic"/>
    <n v="35696"/>
    <n v="10186"/>
    <n v="7250"/>
    <n v="157"/>
    <n v="26"/>
    <n v="14"/>
    <n v="12"/>
    <n v="143"/>
    <m/>
    <n v="209"/>
    <n v="2.88"/>
    <n v="1.9724137931034481E-2"/>
  </r>
  <r>
    <s v="GN20250504"/>
    <d v="2025-11-02T00:00:00"/>
    <x v="0"/>
    <x v="0"/>
    <x v="2"/>
    <s v="Community Week"/>
    <s v="Organic"/>
    <n v="34598"/>
    <n v="9802"/>
    <n v="6692"/>
    <n v="127"/>
    <n v="19"/>
    <n v="12"/>
    <n v="21"/>
    <n v="83"/>
    <m/>
    <n v="179"/>
    <n v="2.67"/>
    <n v="1.2402869097429766E-2"/>
  </r>
  <r>
    <s v="GN20250505"/>
    <d v="2025-11-03T00:00:00"/>
    <x v="0"/>
    <x v="0"/>
    <x v="2"/>
    <s v="Summer Campaign"/>
    <s v="Organic"/>
    <n v="34702"/>
    <n v="10338"/>
    <n v="7808"/>
    <n v="142"/>
    <n v="24"/>
    <n v="18"/>
    <n v="14"/>
    <n v="83"/>
    <m/>
    <n v="198"/>
    <n v="2.54"/>
    <n v="1.0630122950819672E-2"/>
  </r>
  <r>
    <s v="GN20250506"/>
    <d v="2025-11-03T00:00:00"/>
    <x v="1"/>
    <x v="1"/>
    <x v="1"/>
    <s v="Festive Campaign"/>
    <s v="Paid"/>
    <n v="91059"/>
    <n v="89987"/>
    <n v="70641"/>
    <n v="812"/>
    <n v="144"/>
    <n v="146"/>
    <n v="100"/>
    <n v="246"/>
    <m/>
    <n v="1202"/>
    <n v="1.7"/>
    <n v="3.4823969083110375E-3"/>
  </r>
  <r>
    <s v="GN20250507"/>
    <d v="2025-11-04T00:00:00"/>
    <x v="1"/>
    <x v="2"/>
    <x v="1"/>
    <s v="Festive Campaign"/>
    <s v="Organic"/>
    <n v="92987"/>
    <n v="48436"/>
    <n v="44758"/>
    <n v="404"/>
    <n v="63"/>
    <n v="54"/>
    <n v="64"/>
    <n v="129"/>
    <m/>
    <n v="585"/>
    <n v="1.31"/>
    <n v="2.8821663166361321E-3"/>
  </r>
  <r>
    <s v="GN20250508"/>
    <d v="2025-11-05T00:00:00"/>
    <x v="2"/>
    <x v="1"/>
    <x v="4"/>
    <s v="Summer Campaign"/>
    <s v="Organic"/>
    <n v="72978"/>
    <n v="32835"/>
    <n v="22843"/>
    <n v="949"/>
    <n v="148"/>
    <n v="106"/>
    <n v="166"/>
    <n v="385"/>
    <m/>
    <n v="1369"/>
    <n v="5.99"/>
    <n v="1.6854178522961082E-2"/>
  </r>
  <r>
    <s v="GN20250509"/>
    <d v="2025-11-05T00:00:00"/>
    <x v="2"/>
    <x v="2"/>
    <x v="4"/>
    <s v="Always On"/>
    <s v="Organic"/>
    <n v="73134"/>
    <n v="31273"/>
    <n v="27989"/>
    <n v="1094"/>
    <n v="156"/>
    <n v="156"/>
    <n v="201"/>
    <n v="272"/>
    <m/>
    <n v="1607"/>
    <n v="5.74"/>
    <n v="9.7181035406766949E-3"/>
  </r>
  <r>
    <s v="GN20250510"/>
    <d v="2025-11-06T00:00:00"/>
    <x v="1"/>
    <x v="2"/>
    <x v="1"/>
    <s v="Community Week"/>
    <s v="Organic"/>
    <n v="89363"/>
    <n v="46405"/>
    <n v="35968"/>
    <n v="332"/>
    <n v="46"/>
    <n v="48"/>
    <n v="14"/>
    <n v="109"/>
    <m/>
    <n v="440"/>
    <n v="1.22"/>
    <n v="3.0304715302491101E-3"/>
  </r>
  <r>
    <s v="GN20250511"/>
    <d v="2025-11-06T00:00:00"/>
    <x v="2"/>
    <x v="3"/>
    <x v="4"/>
    <s v="Summer Campaign"/>
    <s v="Organic"/>
    <n v="76741"/>
    <n v="49929"/>
    <n v="34730"/>
    <n v="1667"/>
    <n v="286"/>
    <n v="237"/>
    <n v="816"/>
    <n v="410"/>
    <n v="20618"/>
    <n v="3006"/>
    <n v="8.66"/>
    <n v="1.1805355600345523E-2"/>
  </r>
  <r>
    <s v="GN20250512"/>
    <d v="2025-11-07T00:00:00"/>
    <x v="1"/>
    <x v="3"/>
    <x v="4"/>
    <s v="Community Week"/>
    <s v="Organic"/>
    <n v="91018"/>
    <n v="62931"/>
    <n v="50729"/>
    <n v="1175"/>
    <n v="119"/>
    <n v="98"/>
    <n v="430"/>
    <n v="345"/>
    <n v="30930"/>
    <n v="1822"/>
    <n v="3.59"/>
    <n v="6.8008436988704684E-3"/>
  </r>
  <r>
    <s v="GN20250513"/>
    <d v="2025-11-08T00:00:00"/>
    <x v="0"/>
    <x v="0"/>
    <x v="4"/>
    <s v="Community Week"/>
    <s v="Organic"/>
    <n v="33576"/>
    <n v="8841"/>
    <n v="7707"/>
    <n v="221"/>
    <n v="30"/>
    <n v="31"/>
    <n v="34"/>
    <n v="143"/>
    <m/>
    <n v="316"/>
    <n v="4.0999999999999996"/>
    <n v="1.8554560788893212E-2"/>
  </r>
  <r>
    <s v="GN20250514"/>
    <d v="2025-11-08T00:00:00"/>
    <x v="1"/>
    <x v="2"/>
    <x v="1"/>
    <s v="Community Week"/>
    <s v="Organic"/>
    <n v="92565"/>
    <n v="64104"/>
    <n v="45009"/>
    <n v="332"/>
    <n v="41"/>
    <n v="51"/>
    <n v="37"/>
    <n v="151"/>
    <m/>
    <n v="461"/>
    <n v="1.02"/>
    <n v="3.3548845786398277E-3"/>
  </r>
  <r>
    <s v="GN20250515"/>
    <d v="2025-11-09T00:00:00"/>
    <x v="0"/>
    <x v="2"/>
    <x v="2"/>
    <s v="Summer Campaign"/>
    <s v="Organic"/>
    <n v="34475"/>
    <n v="12634"/>
    <n v="9511"/>
    <n v="231"/>
    <n v="28"/>
    <n v="25"/>
    <n v="30"/>
    <n v="109"/>
    <m/>
    <n v="314"/>
    <n v="3.3"/>
    <n v="1.1460414257175901E-2"/>
  </r>
  <r>
    <s v="GN20250516"/>
    <d v="2025-11-09T00:00:00"/>
    <x v="1"/>
    <x v="2"/>
    <x v="2"/>
    <s v="Summer Campaign"/>
    <s v="Paid"/>
    <n v="89027"/>
    <n v="73866"/>
    <n v="52699"/>
    <n v="647"/>
    <n v="109"/>
    <n v="64"/>
    <n v="125"/>
    <n v="212"/>
    <m/>
    <n v="945"/>
    <n v="1.79"/>
    <n v="4.022846733334598E-3"/>
  </r>
  <r>
    <s v="GN20250517"/>
    <d v="2025-11-10T00:00:00"/>
    <x v="1"/>
    <x v="2"/>
    <x v="4"/>
    <s v="Always On"/>
    <s v="Organic"/>
    <n v="89939"/>
    <n v="55216"/>
    <n v="45265"/>
    <n v="713"/>
    <n v="120"/>
    <n v="80"/>
    <n v="106"/>
    <n v="186"/>
    <m/>
    <n v="1019"/>
    <n v="2.25"/>
    <n v="4.1091350933392242E-3"/>
  </r>
  <r>
    <s v="GN20250518"/>
    <d v="2025-11-11T00:00:00"/>
    <x v="2"/>
    <x v="2"/>
    <x v="2"/>
    <s v="Festive Campaign"/>
    <s v="Organic"/>
    <n v="74180"/>
    <n v="34893"/>
    <n v="24636"/>
    <n v="939"/>
    <n v="145"/>
    <n v="91"/>
    <n v="201"/>
    <n v="143"/>
    <m/>
    <n v="1376"/>
    <n v="5.59"/>
    <n v="5.8045137197597014E-3"/>
  </r>
  <r>
    <s v="GN20250519"/>
    <d v="2025-11-11T00:00:00"/>
    <x v="0"/>
    <x v="1"/>
    <x v="1"/>
    <s v="Summer Campaign"/>
    <s v="Organic"/>
    <n v="36278"/>
    <n v="12849"/>
    <n v="9638"/>
    <n v="244"/>
    <n v="29"/>
    <n v="31"/>
    <n v="27"/>
    <n v="103"/>
    <m/>
    <n v="331"/>
    <n v="3.43"/>
    <n v="1.0686864494708445E-2"/>
  </r>
  <r>
    <s v="GN20250520"/>
    <d v="2025-11-12T00:00:00"/>
    <x v="1"/>
    <x v="3"/>
    <x v="3"/>
    <s v="Community Week"/>
    <s v="Organic"/>
    <n v="92494"/>
    <n v="71064"/>
    <n v="49017"/>
    <n v="773"/>
    <n v="125"/>
    <n v="94"/>
    <n v="289"/>
    <n v="214"/>
    <n v="33016"/>
    <n v="1281"/>
    <n v="2.61"/>
    <n v="4.3658322622763535E-3"/>
  </r>
  <r>
    <s v="GN20250521"/>
    <d v="2025-11-12T00:00:00"/>
    <x v="1"/>
    <x v="1"/>
    <x v="1"/>
    <s v="New Launch"/>
    <s v="Organic"/>
    <n v="91492"/>
    <n v="63399"/>
    <n v="53711"/>
    <n v="759"/>
    <n v="105"/>
    <n v="118"/>
    <n v="57"/>
    <n v="224"/>
    <m/>
    <n v="1039"/>
    <n v="1.93"/>
    <n v="4.1704678743646551E-3"/>
  </r>
  <r>
    <s v="GN20250522"/>
    <d v="2025-11-13T00:00:00"/>
    <x v="2"/>
    <x v="0"/>
    <x v="4"/>
    <s v="Festive Campaign"/>
    <s v="Paid"/>
    <n v="77447"/>
    <n v="54009"/>
    <n v="40143"/>
    <n v="1323"/>
    <n v="173"/>
    <n v="117"/>
    <n v="168"/>
    <n v="716"/>
    <m/>
    <n v="1781"/>
    <n v="4.4400000000000004"/>
    <n v="1.7836235458236805E-2"/>
  </r>
  <r>
    <s v="GN20250523"/>
    <d v="2025-11-14T00:00:00"/>
    <x v="2"/>
    <x v="2"/>
    <x v="1"/>
    <s v="Always On"/>
    <s v="Organic"/>
    <n v="75930"/>
    <n v="25559"/>
    <n v="22631"/>
    <n v="584"/>
    <n v="94"/>
    <n v="80"/>
    <n v="6"/>
    <n v="182"/>
    <m/>
    <n v="764"/>
    <n v="3.38"/>
    <n v="8.0420661923909682E-3"/>
  </r>
  <r>
    <s v="GN20250524"/>
    <d v="2025-11-14T00:00:00"/>
    <x v="2"/>
    <x v="3"/>
    <x v="4"/>
    <s v="Festive Campaign"/>
    <s v="Organic"/>
    <n v="73128"/>
    <n v="40541"/>
    <n v="32687"/>
    <n v="2220"/>
    <n v="391"/>
    <n v="265"/>
    <n v="1170"/>
    <n v="434"/>
    <n v="21924"/>
    <n v="4046"/>
    <n v="12.38"/>
    <n v="1.3277449750665402E-2"/>
  </r>
  <r>
    <s v="GN20250525"/>
    <d v="2025-11-15T00:00:00"/>
    <x v="0"/>
    <x v="0"/>
    <x v="4"/>
    <s v="New Launch"/>
    <s v="Paid"/>
    <n v="37379"/>
    <n v="18192"/>
    <n v="16182"/>
    <n v="370"/>
    <n v="55"/>
    <n v="47"/>
    <n v="30"/>
    <n v="324"/>
    <m/>
    <n v="502"/>
    <n v="3.1"/>
    <n v="2.0022246941045607E-2"/>
  </r>
  <r>
    <s v="GN20250526"/>
    <d v="2025-11-16T00:00:00"/>
    <x v="1"/>
    <x v="2"/>
    <x v="4"/>
    <s v="Summer Campaign"/>
    <s v="Organic"/>
    <n v="91923"/>
    <n v="57455"/>
    <n v="48168"/>
    <n v="906"/>
    <n v="173"/>
    <n v="151"/>
    <n v="118"/>
    <n v="197"/>
    <m/>
    <n v="1348"/>
    <n v="2.8"/>
    <n v="4.0898521840225877E-3"/>
  </r>
  <r>
    <s v="GN20250527"/>
    <d v="2025-11-16T00:00:00"/>
    <x v="2"/>
    <x v="2"/>
    <x v="4"/>
    <s v="New Launch"/>
    <s v="Paid"/>
    <n v="75304"/>
    <n v="46045"/>
    <n v="40826"/>
    <n v="1870"/>
    <n v="239"/>
    <n v="184"/>
    <n v="215"/>
    <n v="539"/>
    <m/>
    <n v="2508"/>
    <n v="6.14"/>
    <n v="1.3202371038063978E-2"/>
  </r>
  <r>
    <s v="GN20250528"/>
    <d v="2025-11-17T00:00:00"/>
    <x v="2"/>
    <x v="0"/>
    <x v="1"/>
    <s v="New Launch"/>
    <s v="Paid"/>
    <n v="76058"/>
    <n v="48433"/>
    <n v="32793"/>
    <n v="519"/>
    <n v="87"/>
    <n v="43"/>
    <n v="28"/>
    <n v="324"/>
    <m/>
    <n v="677"/>
    <n v="2.06"/>
    <n v="9.8801573506541035E-3"/>
  </r>
  <r>
    <s v="GN20250529"/>
    <d v="2025-11-17T00:00:00"/>
    <x v="0"/>
    <x v="1"/>
    <x v="3"/>
    <s v="Festive Campaign"/>
    <s v="Organic"/>
    <n v="38501"/>
    <n v="14511"/>
    <n v="10626"/>
    <n v="370"/>
    <n v="42"/>
    <n v="47"/>
    <n v="41"/>
    <n v="186"/>
    <m/>
    <n v="500"/>
    <n v="4.71"/>
    <n v="1.7504234895539244E-2"/>
  </r>
  <r>
    <s v="GN20250530"/>
    <d v="2025-11-18T00:00:00"/>
    <x v="0"/>
    <x v="1"/>
    <x v="0"/>
    <s v="Community Week"/>
    <s v="Organic"/>
    <n v="34111"/>
    <n v="13596"/>
    <n v="9464"/>
    <n v="353"/>
    <n v="38"/>
    <n v="34"/>
    <n v="90"/>
    <n v="130"/>
    <m/>
    <n v="515"/>
    <n v="5.44"/>
    <n v="1.3736263736263736E-2"/>
  </r>
  <r>
    <s v="GN20250531"/>
    <d v="2025-11-19T00:00:00"/>
    <x v="2"/>
    <x v="1"/>
    <x v="4"/>
    <s v="Always On"/>
    <s v="Paid"/>
    <n v="74773"/>
    <n v="48902"/>
    <n v="38906"/>
    <n v="2316"/>
    <n v="398"/>
    <n v="246"/>
    <n v="186"/>
    <n v="538"/>
    <m/>
    <n v="3146"/>
    <n v="8.09"/>
    <n v="1.3828201305711201E-2"/>
  </r>
  <r>
    <s v="GN20250532"/>
    <d v="2025-11-19T00:00:00"/>
    <x v="1"/>
    <x v="1"/>
    <x v="3"/>
    <s v="Festive Campaign"/>
    <s v="Paid"/>
    <n v="89819"/>
    <n v="61412"/>
    <n v="56515"/>
    <n v="813"/>
    <n v="117"/>
    <n v="116"/>
    <n v="198"/>
    <n v="292"/>
    <m/>
    <n v="1244"/>
    <n v="2.2000000000000002"/>
    <n v="5.1667698841015661E-3"/>
  </r>
  <r>
    <s v="GN20250533"/>
    <d v="2025-11-20T00:00:00"/>
    <x v="0"/>
    <x v="0"/>
    <x v="0"/>
    <s v="Summer Campaign"/>
    <s v="Paid"/>
    <n v="33132"/>
    <n v="14634"/>
    <n v="11523"/>
    <n v="267"/>
    <n v="49"/>
    <n v="43"/>
    <n v="38"/>
    <n v="133"/>
    <m/>
    <n v="397"/>
    <n v="3.45"/>
    <n v="1.1542133125054239E-2"/>
  </r>
  <r>
    <s v="GN20250534"/>
    <d v="2025-11-20T00:00:00"/>
    <x v="2"/>
    <x v="1"/>
    <x v="1"/>
    <s v="Always On"/>
    <s v="Organic"/>
    <n v="74760"/>
    <n v="28247"/>
    <n v="24865"/>
    <n v="590"/>
    <n v="84"/>
    <n v="64"/>
    <n v="37"/>
    <n v="268"/>
    <m/>
    <n v="775"/>
    <n v="3.12"/>
    <n v="1.0778202292378846E-2"/>
  </r>
  <r>
    <s v="GN20250535"/>
    <d v="2025-11-21T00:00:00"/>
    <x v="1"/>
    <x v="2"/>
    <x v="1"/>
    <s v="Summer Campaign"/>
    <s v="Organic"/>
    <n v="91939"/>
    <n v="56387"/>
    <n v="38093"/>
    <n v="269"/>
    <n v="36"/>
    <n v="43"/>
    <n v="33"/>
    <n v="112"/>
    <m/>
    <n v="381"/>
    <n v="1"/>
    <n v="2.9401727351481902E-3"/>
  </r>
  <r>
    <s v="GN20250536"/>
    <d v="2025-11-22T00:00:00"/>
    <x v="2"/>
    <x v="3"/>
    <x v="1"/>
    <s v="Summer Campaign"/>
    <s v="Paid"/>
    <n v="75073"/>
    <n v="55235"/>
    <n v="48486"/>
    <n v="1788"/>
    <n v="184"/>
    <n v="199"/>
    <n v="245"/>
    <n v="530"/>
    <n v="41627"/>
    <n v="2416"/>
    <n v="4.9800000000000004"/>
    <n v="1.0930990388978263E-2"/>
  </r>
  <r>
    <s v="GN20250537"/>
    <d v="2025-11-22T00:00:00"/>
    <x v="0"/>
    <x v="0"/>
    <x v="2"/>
    <s v="Always On"/>
    <s v="Organic"/>
    <n v="36802"/>
    <n v="7778"/>
    <n v="5792"/>
    <n v="124"/>
    <n v="13"/>
    <n v="20"/>
    <n v="13"/>
    <n v="68"/>
    <m/>
    <n v="170"/>
    <n v="2.94"/>
    <n v="1.1740331491712707E-2"/>
  </r>
  <r>
    <s v="GN20250538"/>
    <d v="2025-11-23T00:00:00"/>
    <x v="2"/>
    <x v="1"/>
    <x v="4"/>
    <s v="Community Week"/>
    <s v="Paid"/>
    <n v="74645"/>
    <n v="66986"/>
    <n v="43218"/>
    <n v="2217"/>
    <n v="351"/>
    <n v="332"/>
    <n v="149"/>
    <n v="596"/>
    <m/>
    <n v="3049"/>
    <n v="7.05"/>
    <n v="1.3790550233698922E-2"/>
  </r>
  <r>
    <s v="GN20250539"/>
    <d v="2025-11-23T00:00:00"/>
    <x v="0"/>
    <x v="1"/>
    <x v="4"/>
    <s v="Community Week"/>
    <s v="Organic"/>
    <n v="34608"/>
    <n v="10999"/>
    <n v="9014"/>
    <n v="293"/>
    <n v="34"/>
    <n v="49"/>
    <n v="70"/>
    <n v="154"/>
    <m/>
    <n v="446"/>
    <n v="4.95"/>
    <n v="1.7084535167517196E-2"/>
  </r>
  <r>
    <s v="GN20250540"/>
    <d v="2025-11-24T00:00:00"/>
    <x v="2"/>
    <x v="2"/>
    <x v="1"/>
    <s v="Festive Campaign"/>
    <s v="Paid"/>
    <n v="75444"/>
    <n v="55312"/>
    <n v="43851"/>
    <n v="744"/>
    <n v="90"/>
    <n v="82"/>
    <n v="51"/>
    <n v="263"/>
    <m/>
    <n v="967"/>
    <n v="2.21"/>
    <n v="5.9975827233130375E-3"/>
  </r>
  <r>
    <s v="GN20250541"/>
    <d v="2025-11-25T00:00:00"/>
    <x v="0"/>
    <x v="2"/>
    <x v="3"/>
    <s v="Summer Campaign"/>
    <s v="Organic"/>
    <n v="35578"/>
    <n v="7985"/>
    <n v="6688"/>
    <n v="158"/>
    <n v="27"/>
    <n v="18"/>
    <n v="17"/>
    <n v="75"/>
    <m/>
    <n v="220"/>
    <n v="3.29"/>
    <n v="1.1214114832535885E-2"/>
  </r>
  <r>
    <s v="GN20250542"/>
    <d v="2025-11-25T00:00:00"/>
    <x v="2"/>
    <x v="3"/>
    <x v="1"/>
    <s v="Community Week"/>
    <s v="Organic"/>
    <n v="74762"/>
    <n v="53488"/>
    <n v="37368"/>
    <n v="1040"/>
    <n v="113"/>
    <n v="181"/>
    <n v="247"/>
    <n v="346"/>
    <n v="26217"/>
    <n v="1581"/>
    <n v="4.2300000000000004"/>
    <n v="9.2592592592592587E-3"/>
  </r>
  <r>
    <s v="GN20250543"/>
    <d v="2025-11-26T00:00:00"/>
    <x v="0"/>
    <x v="2"/>
    <x v="2"/>
    <s v="Summer Campaign"/>
    <s v="Organic"/>
    <n v="36446"/>
    <n v="7636"/>
    <n v="6808"/>
    <n v="149"/>
    <n v="27"/>
    <n v="27"/>
    <n v="18"/>
    <n v="73"/>
    <m/>
    <n v="221"/>
    <n v="3.25"/>
    <n v="1.0722679200940071E-2"/>
  </r>
  <r>
    <s v="GN20250544"/>
    <d v="2025-11-26T00:00:00"/>
    <x v="0"/>
    <x v="2"/>
    <x v="3"/>
    <s v="Summer Campaign"/>
    <s v="Organic"/>
    <n v="34724"/>
    <n v="11077"/>
    <n v="7738"/>
    <n v="144"/>
    <n v="16"/>
    <n v="21"/>
    <n v="27"/>
    <n v="83"/>
    <m/>
    <n v="208"/>
    <n v="2.69"/>
    <n v="1.072628586197984E-2"/>
  </r>
  <r>
    <s v="GN20250545"/>
    <d v="2025-11-27T00:00:00"/>
    <x v="0"/>
    <x v="2"/>
    <x v="2"/>
    <s v="Community Week"/>
    <s v="Organic"/>
    <n v="39367"/>
    <n v="14673"/>
    <n v="10336"/>
    <n v="235"/>
    <n v="38"/>
    <n v="32"/>
    <n v="12"/>
    <n v="118"/>
    <m/>
    <n v="317"/>
    <n v="3.07"/>
    <n v="1.141640866873065E-2"/>
  </r>
  <r>
    <s v="GN20250546"/>
    <d v="2025-11-28T00:00:00"/>
    <x v="2"/>
    <x v="2"/>
    <x v="2"/>
    <s v="Festive Campaign"/>
    <s v="Organic"/>
    <n v="73872"/>
    <n v="24805"/>
    <n v="17557"/>
    <n v="722"/>
    <n v="69"/>
    <n v="63"/>
    <n v="99"/>
    <n v="142"/>
    <m/>
    <n v="953"/>
    <n v="5.43"/>
    <n v="8.0879421313436242E-3"/>
  </r>
  <r>
    <s v="GN20250547"/>
    <d v="2025-11-28T00:00:00"/>
    <x v="0"/>
    <x v="0"/>
    <x v="1"/>
    <s v="Community Week"/>
    <s v="Organic"/>
    <n v="36117"/>
    <n v="8213"/>
    <n v="7235"/>
    <n v="120"/>
    <n v="12"/>
    <n v="12"/>
    <n v="8"/>
    <n v="85"/>
    <m/>
    <n v="152"/>
    <n v="2.1"/>
    <n v="1.1748445058742226E-2"/>
  </r>
  <r>
    <s v="GN20250548"/>
    <d v="2025-11-29T00:00:00"/>
    <x v="1"/>
    <x v="2"/>
    <x v="1"/>
    <s v="Community Week"/>
    <s v="Organic"/>
    <n v="89593"/>
    <n v="50160"/>
    <n v="43009"/>
    <n v="436"/>
    <n v="41"/>
    <n v="62"/>
    <n v="26"/>
    <n v="162"/>
    <m/>
    <n v="565"/>
    <n v="1.31"/>
    <n v="3.7666534911297636E-3"/>
  </r>
  <r>
    <s v="GN20250549"/>
    <d v="2025-11-30T00:00:00"/>
    <x v="2"/>
    <x v="3"/>
    <x v="1"/>
    <s v="Community Week"/>
    <s v="Organic"/>
    <n v="74690"/>
    <n v="54032"/>
    <n v="37538"/>
    <n v="1608"/>
    <n v="154"/>
    <n v="130"/>
    <n v="217"/>
    <n v="330"/>
    <n v="22188"/>
    <n v="2109"/>
    <n v="5.62"/>
    <n v="8.7910916937503324E-3"/>
  </r>
  <r>
    <s v="GN20250550"/>
    <d v="2025-11-30T00:00:00"/>
    <x v="2"/>
    <x v="3"/>
    <x v="3"/>
    <s v="New Launch"/>
    <s v="Organic"/>
    <n v="76897"/>
    <n v="43137"/>
    <n v="28282"/>
    <n v="1263"/>
    <n v="194"/>
    <n v="198"/>
    <n v="235"/>
    <n v="253"/>
    <n v="25180"/>
    <n v="1890"/>
    <n v="6.68"/>
    <n v="8.9456191217028493E-3"/>
  </r>
  <r>
    <s v="GN20250551"/>
    <d v="2025-12-01T00:00:00"/>
    <x v="2"/>
    <x v="3"/>
    <x v="1"/>
    <s v="Always On"/>
    <s v="Organic"/>
    <n v="75260"/>
    <n v="62905"/>
    <n v="41712"/>
    <n v="1313"/>
    <n v="247"/>
    <n v="230"/>
    <n v="179"/>
    <n v="378"/>
    <n v="32491"/>
    <n v="1969"/>
    <n v="4.72"/>
    <n v="9.0621403912543152E-3"/>
  </r>
  <r>
    <s v="GN20250552"/>
    <d v="2025-12-01T00:00:00"/>
    <x v="0"/>
    <x v="3"/>
    <x v="0"/>
    <s v="Summer Campaign"/>
    <s v="Organic"/>
    <n v="35510"/>
    <n v="19821"/>
    <n v="13037"/>
    <n v="428"/>
    <n v="76"/>
    <n v="43"/>
    <n v="76"/>
    <n v="183"/>
    <n v="9674"/>
    <n v="623"/>
    <n v="4.78"/>
    <n v="1.4036971695942318E-2"/>
  </r>
  <r>
    <s v="GN20250553"/>
    <d v="2025-12-02T00:00:00"/>
    <x v="1"/>
    <x v="0"/>
    <x v="4"/>
    <s v="Summer Campaign"/>
    <s v="Organic"/>
    <n v="93104"/>
    <n v="50780"/>
    <n v="33418"/>
    <n v="590"/>
    <n v="71"/>
    <n v="60"/>
    <n v="152"/>
    <n v="246"/>
    <m/>
    <n v="873"/>
    <n v="2.61"/>
    <n v="7.361302292177868E-3"/>
  </r>
  <r>
    <s v="GN20250554"/>
    <d v="2025-12-03T00:00:00"/>
    <x v="1"/>
    <x v="2"/>
    <x v="3"/>
    <s v="Summer Campaign"/>
    <s v="Organic"/>
    <n v="90520"/>
    <n v="37734"/>
    <n v="26582"/>
    <n v="267"/>
    <n v="35"/>
    <n v="33"/>
    <n v="69"/>
    <n v="157"/>
    <m/>
    <n v="404"/>
    <n v="1.52"/>
    <n v="5.9062523512151081E-3"/>
  </r>
  <r>
    <s v="GN20250555"/>
    <d v="2025-12-03T00:00:00"/>
    <x v="1"/>
    <x v="0"/>
    <x v="1"/>
    <s v="Community Week"/>
    <s v="Organic"/>
    <n v="90027"/>
    <n v="39421"/>
    <n v="27905"/>
    <n v="261"/>
    <n v="27"/>
    <n v="28"/>
    <n v="20"/>
    <n v="100"/>
    <m/>
    <n v="336"/>
    <n v="1.2"/>
    <n v="3.5835871707579287E-3"/>
  </r>
  <r>
    <s v="GN20250556"/>
    <d v="2025-12-04T00:00:00"/>
    <x v="0"/>
    <x v="3"/>
    <x v="0"/>
    <s v="Festive Campaign"/>
    <s v="Organic"/>
    <n v="36404"/>
    <n v="18663"/>
    <n v="12324"/>
    <n v="541"/>
    <n v="93"/>
    <n v="63"/>
    <n v="134"/>
    <n v="195"/>
    <n v="10279"/>
    <n v="831"/>
    <n v="6.74"/>
    <n v="1.5822784810126583E-2"/>
  </r>
  <r>
    <s v="GN20250557"/>
    <d v="2025-12-04T00:00:00"/>
    <x v="0"/>
    <x v="1"/>
    <x v="0"/>
    <s v="Always On"/>
    <s v="Paid"/>
    <n v="36623"/>
    <n v="22288"/>
    <n v="15353"/>
    <n v="381"/>
    <n v="68"/>
    <n v="46"/>
    <n v="81"/>
    <n v="236"/>
    <m/>
    <n v="576"/>
    <n v="3.75"/>
    <n v="1.5371588614603009E-2"/>
  </r>
  <r>
    <s v="GN20250558"/>
    <d v="2025-12-05T00:00:00"/>
    <x v="0"/>
    <x v="2"/>
    <x v="4"/>
    <s v="Community Week"/>
    <s v="Organic"/>
    <n v="36788"/>
    <n v="16372"/>
    <n v="11402"/>
    <n v="368"/>
    <n v="62"/>
    <n v="44"/>
    <n v="42"/>
    <n v="179"/>
    <m/>
    <n v="516"/>
    <n v="4.53"/>
    <n v="1.5699000175407825E-2"/>
  </r>
  <r>
    <s v="GN20250559"/>
    <d v="2025-12-06T00:00:00"/>
    <x v="1"/>
    <x v="1"/>
    <x v="0"/>
    <s v="Summer Campaign"/>
    <s v="Paid"/>
    <n v="91612"/>
    <n v="65386"/>
    <n v="55227"/>
    <n v="936"/>
    <n v="158"/>
    <n v="129"/>
    <n v="278"/>
    <n v="202"/>
    <m/>
    <n v="1501"/>
    <n v="2.72"/>
    <n v="3.6576312311007299E-3"/>
  </r>
  <r>
    <s v="GN20250560"/>
    <d v="2025-12-06T00:00:00"/>
    <x v="0"/>
    <x v="0"/>
    <x v="4"/>
    <s v="Community Week"/>
    <s v="Organic"/>
    <n v="35143"/>
    <n v="10179"/>
    <n v="7217"/>
    <n v="229"/>
    <n v="24"/>
    <n v="21"/>
    <n v="33"/>
    <n v="118"/>
    <m/>
    <n v="307"/>
    <n v="4.25"/>
    <n v="1.6350284051544962E-2"/>
  </r>
  <r>
    <s v="GN20250561"/>
    <d v="2025-12-07T00:00:00"/>
    <x v="2"/>
    <x v="3"/>
    <x v="4"/>
    <s v="Festive Campaign"/>
    <s v="Organic"/>
    <n v="75090"/>
    <n v="47774"/>
    <n v="36665"/>
    <n v="2652"/>
    <n v="338"/>
    <n v="442"/>
    <n v="553"/>
    <n v="547"/>
    <n v="26918"/>
    <n v="3985"/>
    <n v="10.87"/>
    <n v="1.4918859948179463E-2"/>
  </r>
  <r>
    <s v="GN20250562"/>
    <d v="2025-12-07T00:00:00"/>
    <x v="0"/>
    <x v="1"/>
    <x v="4"/>
    <s v="New Launch"/>
    <s v="Organic"/>
    <n v="37239"/>
    <n v="13249"/>
    <n v="9301"/>
    <n v="343"/>
    <n v="55"/>
    <n v="39"/>
    <n v="135"/>
    <n v="153"/>
    <m/>
    <n v="572"/>
    <n v="6.15"/>
    <n v="1.6449844102784647E-2"/>
  </r>
  <r>
    <s v="GN20250563"/>
    <d v="2025-12-08T00:00:00"/>
    <x v="0"/>
    <x v="0"/>
    <x v="1"/>
    <s v="Summer Campaign"/>
    <s v="Paid"/>
    <n v="36958"/>
    <n v="12768"/>
    <n v="11098"/>
    <n v="169"/>
    <n v="25"/>
    <n v="21"/>
    <n v="7"/>
    <n v="97"/>
    <m/>
    <n v="222"/>
    <n v="2"/>
    <n v="8.7403135700126148E-3"/>
  </r>
  <r>
    <s v="GN20250564"/>
    <d v="2025-12-09T00:00:00"/>
    <x v="1"/>
    <x v="1"/>
    <x v="0"/>
    <s v="Community Week"/>
    <s v="Organic"/>
    <n v="92087"/>
    <n v="65035"/>
    <n v="48247"/>
    <n v="755"/>
    <n v="140"/>
    <n v="67"/>
    <n v="176"/>
    <n v="195"/>
    <m/>
    <n v="1138"/>
    <n v="2.36"/>
    <n v="4.0417020747403982E-3"/>
  </r>
  <r>
    <s v="GN20250565"/>
    <d v="2025-12-09T00:00:00"/>
    <x v="2"/>
    <x v="1"/>
    <x v="3"/>
    <s v="Community Week"/>
    <s v="Organic"/>
    <n v="76616"/>
    <n v="36772"/>
    <n v="25889"/>
    <n v="909"/>
    <n v="149"/>
    <n v="116"/>
    <n v="232"/>
    <n v="309"/>
    <m/>
    <n v="1406"/>
    <n v="5.43"/>
    <n v="1.1935571091969563E-2"/>
  </r>
  <r>
    <s v="GN20250566"/>
    <d v="2025-12-10T00:00:00"/>
    <x v="2"/>
    <x v="1"/>
    <x v="1"/>
    <s v="Always On"/>
    <s v="Paid"/>
    <n v="76028"/>
    <n v="62742"/>
    <n v="48144"/>
    <n v="1313"/>
    <n v="191"/>
    <n v="141"/>
    <n v="215"/>
    <n v="538"/>
    <m/>
    <n v="1860"/>
    <n v="3.86"/>
    <n v="1.1174808906613492E-2"/>
  </r>
  <r>
    <s v="GN20250567"/>
    <d v="2025-12-10T00:00:00"/>
    <x v="2"/>
    <x v="3"/>
    <x v="2"/>
    <s v="Community Week"/>
    <s v="Organic"/>
    <n v="76613"/>
    <n v="42700"/>
    <n v="39289"/>
    <n v="2113"/>
    <n v="291"/>
    <n v="310"/>
    <n v="368"/>
    <n v="390"/>
    <n v="26037"/>
    <n v="3082"/>
    <n v="7.84"/>
    <n v="9.9264425157168674E-3"/>
  </r>
  <r>
    <s v="GN20250568"/>
    <d v="2025-12-11T00:00:00"/>
    <x v="0"/>
    <x v="0"/>
    <x v="2"/>
    <s v="Community Week"/>
    <s v="Organic"/>
    <n v="35904"/>
    <n v="9093"/>
    <n v="5893"/>
    <n v="134"/>
    <n v="23"/>
    <n v="17"/>
    <n v="5"/>
    <n v="82"/>
    <m/>
    <n v="179"/>
    <n v="3.04"/>
    <n v="1.3914814186322755E-2"/>
  </r>
  <r>
    <s v="GN20250569"/>
    <d v="2025-12-12T00:00:00"/>
    <x v="0"/>
    <x v="1"/>
    <x v="1"/>
    <s v="New Launch"/>
    <s v="Organic"/>
    <n v="34473"/>
    <n v="14202"/>
    <n v="9479"/>
    <n v="185"/>
    <n v="28"/>
    <n v="32"/>
    <n v="35"/>
    <n v="111"/>
    <m/>
    <n v="280"/>
    <n v="2.95"/>
    <n v="1.1710096001687941E-2"/>
  </r>
  <r>
    <s v="GN20250570"/>
    <d v="2025-12-12T00:00:00"/>
    <x v="1"/>
    <x v="3"/>
    <x v="1"/>
    <s v="Festive Campaign"/>
    <s v="Organic"/>
    <n v="92940"/>
    <n v="88857"/>
    <n v="60026"/>
    <n v="852"/>
    <n v="153"/>
    <n v="103"/>
    <n v="88"/>
    <n v="216"/>
    <n v="49495"/>
    <n v="1196"/>
    <n v="1.99"/>
    <n v="3.5984406757071934E-3"/>
  </r>
  <r>
    <s v="GN20250571"/>
    <d v="2025-12-13T00:00:00"/>
    <x v="2"/>
    <x v="1"/>
    <x v="4"/>
    <s v="Always On"/>
    <s v="Organic"/>
    <n v="76874"/>
    <n v="43313"/>
    <n v="34113"/>
    <n v="1890"/>
    <n v="262"/>
    <n v="267"/>
    <n v="395"/>
    <n v="424"/>
    <m/>
    <n v="2814"/>
    <n v="8.25"/>
    <n v="1.242927916043737E-2"/>
  </r>
  <r>
    <s v="GN20250572"/>
    <d v="2025-12-13T00:00:00"/>
    <x v="2"/>
    <x v="3"/>
    <x v="3"/>
    <s v="Community Week"/>
    <s v="Paid"/>
    <n v="75808"/>
    <n v="56741"/>
    <n v="39105"/>
    <n v="1804"/>
    <n v="280"/>
    <n v="194"/>
    <n v="322"/>
    <n v="556"/>
    <n v="25882"/>
    <n v="2600"/>
    <n v="6.65"/>
    <n v="1.4218130673826877E-2"/>
  </r>
  <r>
    <s v="GN20250573"/>
    <d v="2025-12-14T00:00:00"/>
    <x v="1"/>
    <x v="3"/>
    <x v="0"/>
    <s v="Summer Campaign"/>
    <s v="Organic"/>
    <n v="92256"/>
    <n v="58432"/>
    <n v="52208"/>
    <n v="1361"/>
    <n v="198"/>
    <n v="128"/>
    <n v="256"/>
    <n v="270"/>
    <n v="45762"/>
    <n v="1943"/>
    <n v="7.44"/>
    <n v="5.171621207477781E-3"/>
  </r>
  <r>
    <s v="GN20250574"/>
    <d v="2025-12-15T00:00:00"/>
    <x v="2"/>
    <x v="2"/>
    <x v="2"/>
    <s v="Festive Campaign"/>
    <s v="Organic"/>
    <n v="76374"/>
    <n v="34307"/>
    <n v="27406"/>
    <n v="959"/>
    <n v="143"/>
    <n v="110"/>
    <n v="162"/>
    <n v="251"/>
    <m/>
    <n v="1374"/>
    <n v="5.01"/>
    <n v="9.1585784134860983E-3"/>
  </r>
  <r>
    <s v="GN20250575"/>
    <d v="2025-12-15T00:00:00"/>
    <x v="0"/>
    <x v="3"/>
    <x v="4"/>
    <s v="New Launch"/>
    <s v="Paid"/>
    <n v="36660"/>
    <n v="32221"/>
    <n v="23800"/>
    <n v="1053"/>
    <n v="101"/>
    <n v="86"/>
    <n v="377"/>
    <n v="472"/>
    <n v="19659"/>
    <n v="1617"/>
    <n v="6.79"/>
    <n v="1.9831932773109243E-2"/>
  </r>
  <r>
    <s v="GN20250576"/>
    <d v="2025-12-16T00:00:00"/>
    <x v="1"/>
    <x v="1"/>
    <x v="2"/>
    <s v="Always On"/>
    <s v="Organic"/>
    <n v="88402"/>
    <n v="43372"/>
    <n v="37967"/>
    <n v="804"/>
    <n v="124"/>
    <n v="122"/>
    <n v="41"/>
    <n v="187"/>
    <m/>
    <n v="1091"/>
    <n v="2.87"/>
    <n v="4.9253298917480972E-3"/>
  </r>
  <r>
    <s v="GN20250577"/>
    <d v="2025-12-17T00:00:00"/>
    <x v="2"/>
    <x v="0"/>
    <x v="4"/>
    <s v="Community Week"/>
    <s v="Paid"/>
    <n v="75886"/>
    <n v="38658"/>
    <n v="31642"/>
    <n v="876"/>
    <n v="136"/>
    <n v="139"/>
    <n v="46"/>
    <n v="505"/>
    <m/>
    <n v="1197"/>
    <n v="3.78"/>
    <n v="1.5959800265469944E-2"/>
  </r>
  <r>
    <s v="GN20250578"/>
    <d v="2025-12-17T00:00:00"/>
    <x v="0"/>
    <x v="3"/>
    <x v="4"/>
    <s v="Festive Campaign"/>
    <s v="Organic"/>
    <n v="36262"/>
    <n v="17286"/>
    <n v="11191"/>
    <n v="415"/>
    <n v="55"/>
    <n v="69"/>
    <n v="156"/>
    <n v="195"/>
    <n v="7171"/>
    <n v="695"/>
    <n v="6.21"/>
    <n v="1.7424716289875793E-2"/>
  </r>
  <r>
    <s v="GN20250579"/>
    <d v="2025-12-18T00:00:00"/>
    <x v="1"/>
    <x v="3"/>
    <x v="4"/>
    <s v="Summer Campaign"/>
    <s v="Organic"/>
    <n v="92061"/>
    <n v="107876"/>
    <n v="69752"/>
    <n v="1595"/>
    <n v="291"/>
    <n v="169"/>
    <n v="890"/>
    <n v="324"/>
    <n v="40514"/>
    <n v="2945"/>
    <n v="4.22"/>
    <n v="4.645028099552701E-3"/>
  </r>
  <r>
    <s v="GN20250580"/>
    <d v="2025-12-18T00:00:00"/>
    <x v="0"/>
    <x v="2"/>
    <x v="4"/>
    <s v="Always On"/>
    <s v="Organic"/>
    <n v="34538"/>
    <n v="11935"/>
    <n v="7802"/>
    <n v="213"/>
    <n v="27"/>
    <n v="31"/>
    <n v="54"/>
    <n v="113"/>
    <m/>
    <n v="325"/>
    <n v="4.17"/>
    <n v="1.448346577800564E-2"/>
  </r>
  <r>
    <s v="GN20250581"/>
    <d v="2025-12-19T00:00:00"/>
    <x v="2"/>
    <x v="1"/>
    <x v="4"/>
    <s v="Community Week"/>
    <s v="Paid"/>
    <n v="76198"/>
    <n v="75159"/>
    <n v="53540"/>
    <n v="3087"/>
    <n v="354"/>
    <n v="347"/>
    <n v="612"/>
    <n v="629"/>
    <m/>
    <n v="4400"/>
    <n v="8.2200000000000006"/>
    <n v="1.1748225625700411E-2"/>
  </r>
  <r>
    <s v="GN20250582"/>
    <d v="2025-12-20T00:00:00"/>
    <x v="2"/>
    <x v="3"/>
    <x v="4"/>
    <s v="Always On"/>
    <s v="Paid"/>
    <n v="76113"/>
    <n v="81415"/>
    <n v="62694"/>
    <n v="3285"/>
    <n v="617"/>
    <n v="484"/>
    <n v="1522"/>
    <n v="1029"/>
    <n v="54902"/>
    <n v="5908"/>
    <n v="9.42"/>
    <n v="1.641305388075414E-2"/>
  </r>
  <r>
    <s v="GN20250583"/>
    <d v="2025-12-20T00:00:00"/>
    <x v="1"/>
    <x v="2"/>
    <x v="0"/>
    <s v="Summer Campaign"/>
    <s v="Organic"/>
    <n v="91045"/>
    <n v="48821"/>
    <n v="32986"/>
    <n v="371"/>
    <n v="66"/>
    <n v="35"/>
    <n v="57"/>
    <n v="165"/>
    <m/>
    <n v="529"/>
    <n v="1.6"/>
    <n v="5.0021221124113262E-3"/>
  </r>
  <r>
    <s v="GN20250584"/>
    <d v="2025-12-21T00:00:00"/>
    <x v="0"/>
    <x v="1"/>
    <x v="3"/>
    <s v="Always On"/>
    <s v="Paid"/>
    <n v="35542"/>
    <n v="14541"/>
    <n v="11399"/>
    <n v="373"/>
    <n v="60"/>
    <n v="46"/>
    <n v="16"/>
    <n v="194"/>
    <m/>
    <n v="495"/>
    <n v="4.34"/>
    <n v="1.7019036757610316E-2"/>
  </r>
  <r>
    <s v="GN20250585"/>
    <d v="2025-12-21T00:00:00"/>
    <x v="2"/>
    <x v="3"/>
    <x v="4"/>
    <s v="Always On"/>
    <s v="Paid"/>
    <n v="75598"/>
    <n v="88407"/>
    <n v="65417"/>
    <n v="3902"/>
    <n v="558"/>
    <n v="532"/>
    <n v="362"/>
    <n v="1078"/>
    <n v="42367"/>
    <n v="5354"/>
    <n v="8.18"/>
    <n v="1.6478896922818228E-2"/>
  </r>
  <r>
    <s v="GN20250586"/>
    <d v="2025-12-22T00:00:00"/>
    <x v="0"/>
    <x v="0"/>
    <x v="1"/>
    <s v="Summer Campaign"/>
    <s v="Organic"/>
    <n v="36253"/>
    <n v="9687"/>
    <n v="8434"/>
    <n v="116"/>
    <n v="17"/>
    <n v="20"/>
    <n v="12"/>
    <n v="84"/>
    <m/>
    <n v="165"/>
    <n v="1.96"/>
    <n v="9.9596869812663032E-3"/>
  </r>
  <r>
    <s v="GN20250587"/>
    <d v="2025-12-23T00:00:00"/>
    <x v="0"/>
    <x v="1"/>
    <x v="4"/>
    <s v="New Launch"/>
    <s v="Organic"/>
    <n v="37213"/>
    <n v="11588"/>
    <n v="9421"/>
    <n v="292"/>
    <n v="47"/>
    <n v="33"/>
    <n v="46"/>
    <n v="136"/>
    <m/>
    <n v="418"/>
    <n v="4.4400000000000004"/>
    <n v="1.4435834837066128E-2"/>
  </r>
  <r>
    <s v="GN20250588"/>
    <d v="2025-12-23T00:00:00"/>
    <x v="1"/>
    <x v="0"/>
    <x v="4"/>
    <s v="Festive Campaign"/>
    <s v="Organic"/>
    <n v="92082"/>
    <n v="64769"/>
    <n v="45087"/>
    <n v="778"/>
    <n v="121"/>
    <n v="79"/>
    <n v="161"/>
    <n v="354"/>
    <m/>
    <n v="1139"/>
    <n v="2.5299999999999998"/>
    <n v="7.8514871248918754E-3"/>
  </r>
  <r>
    <s v="GN20250589"/>
    <d v="2025-12-24T00:00:00"/>
    <x v="0"/>
    <x v="3"/>
    <x v="3"/>
    <s v="Community Week"/>
    <s v="Organic"/>
    <n v="36128"/>
    <n v="12498"/>
    <n v="8596"/>
    <n v="367"/>
    <n v="35"/>
    <n v="56"/>
    <n v="73"/>
    <n v="140"/>
    <n v="6676"/>
    <n v="531"/>
    <n v="6.18"/>
    <n v="1.6286644951140065E-2"/>
  </r>
  <r>
    <s v="GN20250590"/>
    <d v="2025-12-24T00:00:00"/>
    <x v="0"/>
    <x v="1"/>
    <x v="4"/>
    <s v="Always On"/>
    <s v="Organic"/>
    <n v="35046"/>
    <n v="12730"/>
    <n v="10926"/>
    <n v="493"/>
    <n v="78"/>
    <n v="73"/>
    <n v="113"/>
    <n v="181"/>
    <m/>
    <n v="757"/>
    <n v="6.93"/>
    <n v="1.6565989383122825E-2"/>
  </r>
  <r>
    <s v="GN20250591"/>
    <d v="2025-12-25T00:00:00"/>
    <x v="1"/>
    <x v="3"/>
    <x v="1"/>
    <s v="Always On"/>
    <s v="Organic"/>
    <n v="90566"/>
    <n v="44168"/>
    <n v="39841"/>
    <n v="589"/>
    <n v="85"/>
    <n v="92"/>
    <n v="147"/>
    <n v="155"/>
    <n v="26388"/>
    <n v="913"/>
    <n v="2.29"/>
    <n v="3.8904645967721692E-3"/>
  </r>
  <r>
    <s v="GN20250592"/>
    <d v="2025-12-26T00:00:00"/>
    <x v="2"/>
    <x v="2"/>
    <x v="0"/>
    <s v="Always On"/>
    <s v="Paid"/>
    <n v="75701"/>
    <n v="42033"/>
    <n v="27391"/>
    <n v="1012"/>
    <n v="183"/>
    <n v="108"/>
    <n v="110"/>
    <n v="274"/>
    <m/>
    <n v="1413"/>
    <n v="5.16"/>
    <n v="1.0003285750794056E-2"/>
  </r>
  <r>
    <s v="GN20250593"/>
    <d v="2025-12-26T00:00:00"/>
    <x v="2"/>
    <x v="1"/>
    <x v="2"/>
    <s v="Summer Campaign"/>
    <s v="Organic"/>
    <n v="75645"/>
    <n v="33475"/>
    <n v="23370"/>
    <n v="991"/>
    <n v="137"/>
    <n v="94"/>
    <n v="109"/>
    <n v="240"/>
    <m/>
    <n v="1331"/>
    <n v="5.7"/>
    <n v="1.0269576379974325E-2"/>
  </r>
  <r>
    <s v="GN20250594"/>
    <d v="2025-12-27T00:00:00"/>
    <x v="1"/>
    <x v="2"/>
    <x v="1"/>
    <s v="Community Week"/>
    <s v="Paid"/>
    <n v="92475"/>
    <n v="77272"/>
    <n v="53800"/>
    <n v="474"/>
    <n v="49"/>
    <n v="42"/>
    <n v="59"/>
    <n v="194"/>
    <m/>
    <n v="624"/>
    <n v="1.1599999999999999"/>
    <n v="3.6059479553903345E-3"/>
  </r>
  <r>
    <s v="GN20250595"/>
    <d v="2025-12-27T00:00:00"/>
    <x v="2"/>
    <x v="2"/>
    <x v="4"/>
    <s v="Summer Campaign"/>
    <s v="Organic"/>
    <n v="77074"/>
    <n v="43420"/>
    <n v="28159"/>
    <n v="1053"/>
    <n v="134"/>
    <n v="127"/>
    <n v="176"/>
    <n v="377"/>
    <m/>
    <n v="1490"/>
    <n v="5.29"/>
    <n v="1.3388259526261586E-2"/>
  </r>
  <r>
    <s v="GN20250596"/>
    <d v="2025-12-28T00:00:00"/>
    <x v="0"/>
    <x v="3"/>
    <x v="4"/>
    <s v="Summer Campaign"/>
    <s v="Organic"/>
    <n v="36194"/>
    <n v="15530"/>
    <n v="13313"/>
    <n v="720"/>
    <n v="114"/>
    <n v="117"/>
    <n v="178"/>
    <n v="223"/>
    <n v="11832"/>
    <n v="1129"/>
    <n v="8.48"/>
    <n v="1.6750544580485239E-2"/>
  </r>
  <r>
    <s v="GN20250597"/>
    <d v="2025-12-29T00:00:00"/>
    <x v="0"/>
    <x v="1"/>
    <x v="1"/>
    <s v="Summer Campaign"/>
    <s v="Organic"/>
    <n v="34529"/>
    <n v="9390"/>
    <n v="7703"/>
    <n v="147"/>
    <n v="22"/>
    <n v="15"/>
    <n v="16"/>
    <n v="64"/>
    <m/>
    <n v="200"/>
    <n v="2.6"/>
    <n v="8.3084512527586661E-3"/>
  </r>
  <r>
    <s v="GN20250598"/>
    <d v="2025-12-29T00:00:00"/>
    <x v="1"/>
    <x v="0"/>
    <x v="3"/>
    <s v="Festive Campaign"/>
    <s v="Organic"/>
    <n v="90276"/>
    <n v="26934"/>
    <n v="23833"/>
    <n v="232"/>
    <n v="37"/>
    <n v="21"/>
    <n v="33"/>
    <n v="139"/>
    <m/>
    <n v="323"/>
    <n v="1.36"/>
    <n v="5.8322494020895399E-3"/>
  </r>
  <r>
    <s v="GN20250599"/>
    <d v="2025-12-30T00:00:00"/>
    <x v="2"/>
    <x v="3"/>
    <x v="4"/>
    <s v="Always On"/>
    <s v="Paid"/>
    <n v="73276"/>
    <n v="75476"/>
    <n v="52727"/>
    <n v="2611"/>
    <n v="398"/>
    <n v="267"/>
    <n v="1567"/>
    <n v="528"/>
    <n v="37304"/>
    <n v="4843"/>
    <n v="9.19"/>
    <n v="1.0013844899197754E-2"/>
  </r>
  <r>
    <s v="GN20250600"/>
    <d v="2025-12-31T00:00:00"/>
    <x v="2"/>
    <x v="1"/>
    <x v="3"/>
    <s v="Festive Campaign"/>
    <s v="Organic"/>
    <n v="75645"/>
    <n v="43025"/>
    <n v="27778"/>
    <n v="928"/>
    <n v="140"/>
    <n v="155"/>
    <n v="248"/>
    <n v="256"/>
    <m/>
    <n v="1471"/>
    <n v="5.3"/>
    <n v="9.215926272589819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D33F6-3CF4-4700-8A25-26432EC168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35:B141" firstHeaderRow="1" firstDataRow="1" firstDataCol="1"/>
  <pivotFields count="19">
    <pivotField showAll="0"/>
    <pivotField numFmtId="164" showAll="0"/>
    <pivotField showAll="0">
      <items count="4">
        <item x="1"/>
        <item x="2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2" showAll="0"/>
    <pivotField dataField="1" numFmtId="1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ink Click Rate" fld="1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6F0DD-8CCE-4935-AFE3-384B035BB7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19"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2"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Engagement" fld="16" baseField="0" baseItem="0" numFmtId="3"/>
    <dataField name="Average of Engagement Rate %" fld="17" subtotal="average" baseField="0" baseItem="0" numFmtId="2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6A863-BC91-4517-A939-38AAB225B18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15:C121" firstHeaderRow="0" firstDataRow="1" firstDataCol="1"/>
  <pivotFields count="19">
    <pivotField showAll="0"/>
    <pivotField numFmtId="164" showAll="0"/>
    <pivotField showAll="0">
      <items count="4">
        <item x="1"/>
        <item x="2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2" showAll="0"/>
    <pivotField numFmtId="1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s" fld="16" baseField="0" baseItem="0" numFmtId="3"/>
    <dataField name="Average of Engagement Rate %" fld="17" subtotal="average" baseField="0" baseItem="0" numFmtId="2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CE26A-E55D-4CF1-B4C7-ECBFFAFE498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78:B83" firstHeaderRow="1" firstDataRow="1" firstDataCol="1"/>
  <pivotFields count="19">
    <pivotField showAll="0"/>
    <pivotField numFmtId="164" showAll="0"/>
    <pivotField showAll="0">
      <items count="4">
        <item x="1"/>
        <item x="2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showAll="0"/>
    <pivotField numFmtId="3" showAll="0"/>
    <pivotField showAll="0"/>
    <pivotField numFmtId="3" showAll="0"/>
    <pivotField numFmtId="2" showAll="0"/>
    <pivotField numFmtId="1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ves" fld="13" baseField="0" baseItem="0"/>
  </dataFields>
  <chartFormats count="5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2D9A7-DF42-47C5-949C-7F81675E8F6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57:B62" firstHeaderRow="1" firstDataRow="1" firstDataCol="1"/>
  <pivotFields count="19">
    <pivotField showAll="0"/>
    <pivotField numFmtId="164" showAll="0"/>
    <pivotField showAll="0">
      <items count="4">
        <item x="1"/>
        <item x="2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numFmtId="2" showAll="0"/>
    <pivotField numFmtId="1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s" fld="16" baseField="0" baseItem="0" numFmtId="3"/>
  </dataFields>
  <chartFormats count="5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67A9E-4B72-454B-99F6-E424D28901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1:C45" firstHeaderRow="0" firstDataRow="1" firstDataCol="1"/>
  <pivotFields count="19"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dataField="1" numFmtId="3" showAll="0"/>
    <pivotField showAll="0"/>
    <pivotField numFmtId="3" showAll="0"/>
    <pivotField numFmtId="2" showAll="0"/>
    <pivotField dataField="1"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nk Clicks" fld="14" baseField="0" baseItem="0" numFmtId="3"/>
    <dataField name="Average of Link Click Rate" fld="18" subtotal="average" baseField="0" baseItem="0" numFmtId="1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C1CDD-CDD4-4B84-A0B9-78AB8E7662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0:B24" firstHeaderRow="1" firstDataRow="1" firstDataCol="1"/>
  <pivotFields count="19"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2"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ach" fld="9" baseField="0" baseItem="0" numFmtId="3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A0039-C367-428A-9FC8-39AA30D3D9E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94:B100" firstHeaderRow="1" firstDataRow="1" firstDataCol="1"/>
  <pivotFields count="19">
    <pivotField showAll="0"/>
    <pivotField numFmtId="164" showAll="0"/>
    <pivotField showAll="0">
      <items count="4">
        <item x="1"/>
        <item x="2"/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showAll="0"/>
    <pivotField numFmtId="3" showAll="0"/>
    <pivotField showAll="0"/>
    <pivotField numFmtId="3" showAll="0"/>
    <pivotField numFmtId="2" showAll="0"/>
    <pivotField numFmtId="1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ves" fld="13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A8509-EC23-4C5D-BBFA-AD01F3500E25}" name="GlowNestSocialTable3" displayName="GlowNestSocialTable3" ref="A1:S601" totalsRowShown="0">
  <sortState xmlns:xlrd2="http://schemas.microsoft.com/office/spreadsheetml/2017/richdata2" ref="A2:R601">
    <sortCondition sortBy="cellColor" ref="A1:A601" dxfId="5"/>
  </sortState>
  <tableColumns count="19">
    <tableColumn id="1" xr3:uid="{E78B29AA-7A23-489B-85BE-FD1297DCF6A8}" name="Post ID"/>
    <tableColumn id="2" xr3:uid="{5C80C4F4-8E0D-4D5B-B666-30267E1C2698}" name="Date"/>
    <tableColumn id="3" xr3:uid="{694C1EB9-687D-44D3-82DE-FC129B53968F}" name="Platform"/>
    <tableColumn id="4" xr3:uid="{DD6FE5BC-6B95-4AA0-907B-EC16B1E6CF5B}" name="Content Type"/>
    <tableColumn id="5" xr3:uid="{DD84B437-F99C-4AE1-9E4A-90E5061757FE}" name="Content Theme"/>
    <tableColumn id="6" xr3:uid="{FD06D625-ABA3-4A38-A654-7802584364F1}" name="Campaign"/>
    <tableColumn id="7" xr3:uid="{A13FCCC7-7E1E-4BAC-819F-E3344340060F}" name="Paid / Organic"/>
    <tableColumn id="8" xr3:uid="{53CD7A4F-BCC8-4810-AC99-E13A016365F8}" name="Followers at Posting"/>
    <tableColumn id="9" xr3:uid="{8A8F3958-4AC9-49AB-BC1B-A7800FE984B8}" name="Impressions"/>
    <tableColumn id="10" xr3:uid="{CE9FD4B6-0A0A-483F-AF16-96F171DEE79E}" name="Reach"/>
    <tableColumn id="11" xr3:uid="{C5030A7B-3FB9-4B7E-BB5E-A85388C40464}" name="Likes"/>
    <tableColumn id="12" xr3:uid="{539A526A-CD7C-4B6C-9642-BDC653F470A9}" name="Comments"/>
    <tableColumn id="13" xr3:uid="{0BCA7320-20A4-4E48-877D-03AD5F775274}" name="Shares"/>
    <tableColumn id="14" xr3:uid="{D1CF6919-0771-4FE8-BFE9-CD893A15E8E8}" name="Saves"/>
    <tableColumn id="15" xr3:uid="{94782689-5A9D-4108-8302-C3AC0A7EC02D}" name="Link Clicks"/>
    <tableColumn id="16" xr3:uid="{801E98E2-4040-49D7-B166-BF0265EC72DD}" name="Video Views"/>
    <tableColumn id="17" xr3:uid="{86F8A33E-AA24-4C0F-B7E5-A02FD4C17DB4}" name="Engagements"/>
    <tableColumn id="18" xr3:uid="{B50541E8-FDB1-4F12-AD9F-AD564D9283B8}" name="Engagement Rate %"/>
    <tableColumn id="21" xr3:uid="{4E210D13-A8AF-4DD8-B3C1-EC2005CA7554}" name="Link Click Rate" dataDxfId="4" dataCellStyle="Percent">
      <calculatedColumnFormula>GlowNestSocialTable3[[#This Row],[Link Clicks]]/GlowNestSocialTable3[[#This Row],[Reach]]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wNestSocialTable" displayName="GlowNestSocialTable" ref="A1:S601" totalsRowShown="0">
  <sortState xmlns:xlrd2="http://schemas.microsoft.com/office/spreadsheetml/2017/richdata2" ref="A2:R601">
    <sortCondition sortBy="cellColor" ref="A1:A601" dxfId="3"/>
  </sortState>
  <tableColumns count="19">
    <tableColumn id="1" xr3:uid="{00000000-0010-0000-0000-000001000000}" name="Post ID"/>
    <tableColumn id="2" xr3:uid="{00000000-0010-0000-0000-000002000000}" name="Date"/>
    <tableColumn id="3" xr3:uid="{00000000-0010-0000-0000-000003000000}" name="Platform"/>
    <tableColumn id="4" xr3:uid="{00000000-0010-0000-0000-000004000000}" name="Content Type"/>
    <tableColumn id="5" xr3:uid="{00000000-0010-0000-0000-000005000000}" name="Content Theme"/>
    <tableColumn id="6" xr3:uid="{00000000-0010-0000-0000-000006000000}" name="Campaign"/>
    <tableColumn id="7" xr3:uid="{00000000-0010-0000-0000-000007000000}" name="Paid / Organic"/>
    <tableColumn id="8" xr3:uid="{00000000-0010-0000-0000-000008000000}" name="Followers at Posting"/>
    <tableColumn id="9" xr3:uid="{00000000-0010-0000-0000-000009000000}" name="Impressions"/>
    <tableColumn id="10" xr3:uid="{00000000-0010-0000-0000-00000A000000}" name="Reach"/>
    <tableColumn id="11" xr3:uid="{00000000-0010-0000-0000-00000B000000}" name="Likes"/>
    <tableColumn id="12" xr3:uid="{00000000-0010-0000-0000-00000C000000}" name="Comments"/>
    <tableColumn id="13" xr3:uid="{00000000-0010-0000-0000-00000D000000}" name="Shares"/>
    <tableColumn id="14" xr3:uid="{00000000-0010-0000-0000-00000E000000}" name="Saves"/>
    <tableColumn id="15" xr3:uid="{00000000-0010-0000-0000-00000F000000}" name="Link Clicks"/>
    <tableColumn id="16" xr3:uid="{00000000-0010-0000-0000-000010000000}" name="Video Views"/>
    <tableColumn id="17" xr3:uid="{00000000-0010-0000-0000-000011000000}" name="Engagements"/>
    <tableColumn id="18" xr3:uid="{00000000-0010-0000-0000-000012000000}" name="Engagement Rate %"/>
    <tableColumn id="21" xr3:uid="{92D2B7A0-098B-4ABA-A625-4AEEB7E59DBA}" name="Link Click Rate" dataDxfId="2" dataCellStyle="Percent">
      <calculatedColumnFormula>GlowNestSocialTable[[#This Row],[Link Clicks]]/GlowNestSocialTable[[#This Row],[Reach]]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9014-AF04-4A27-9D7E-B52C674174EA}">
  <dimension ref="A1:S601"/>
  <sheetViews>
    <sheetView workbookViewId="0"/>
  </sheetViews>
  <sheetFormatPr defaultRowHeight="13.8"/>
  <cols>
    <col min="1" max="1" width="14" customWidth="1"/>
    <col min="2" max="2" width="13" customWidth="1"/>
    <col min="3" max="3" width="14" customWidth="1"/>
    <col min="4" max="4" width="18" customWidth="1"/>
    <col min="5" max="5" width="22" customWidth="1"/>
    <col min="6" max="6" width="19" customWidth="1"/>
    <col min="7" max="7" width="16" customWidth="1"/>
    <col min="8" max="8" width="18" customWidth="1"/>
    <col min="9" max="10" width="14" customWidth="1"/>
    <col min="11" max="14" width="11" customWidth="1"/>
    <col min="15" max="17" width="13" customWidth="1"/>
    <col min="18" max="18" width="18" customWidth="1"/>
    <col min="19" max="19" width="14" bestFit="1" customWidth="1"/>
  </cols>
  <sheetData>
    <row r="1" spans="1:1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652</v>
      </c>
    </row>
    <row r="2" spans="1:19">
      <c r="A2" t="s">
        <v>211</v>
      </c>
      <c r="B2" s="2">
        <v>45762</v>
      </c>
      <c r="C2" t="s">
        <v>33</v>
      </c>
      <c r="D2" t="s">
        <v>34</v>
      </c>
      <c r="E2" t="s">
        <v>21</v>
      </c>
      <c r="F2" t="s">
        <v>42</v>
      </c>
      <c r="G2" t="s">
        <v>23</v>
      </c>
      <c r="H2" s="3">
        <v>35004</v>
      </c>
      <c r="I2" s="3">
        <v>6206</v>
      </c>
      <c r="J2" s="3">
        <v>5567</v>
      </c>
      <c r="K2" s="3">
        <v>165</v>
      </c>
      <c r="L2" s="3">
        <v>26</v>
      </c>
      <c r="M2" s="3">
        <v>24</v>
      </c>
      <c r="N2" s="3">
        <v>5</v>
      </c>
      <c r="O2" s="3">
        <v>94</v>
      </c>
      <c r="P2" s="3"/>
      <c r="Q2" s="3">
        <v>220</v>
      </c>
      <c r="R2" s="4">
        <v>3.95</v>
      </c>
      <c r="S2" s="6">
        <f>GlowNestSocialTable3[[#This Row],[Link Clicks]]/GlowNestSocialTable3[[#This Row],[Reach]]</f>
        <v>1.6885216454104544E-2</v>
      </c>
    </row>
    <row r="3" spans="1:19">
      <c r="A3" t="s">
        <v>211</v>
      </c>
      <c r="B3" s="2">
        <v>45763</v>
      </c>
      <c r="C3" t="s">
        <v>36</v>
      </c>
      <c r="D3" t="s">
        <v>34</v>
      </c>
      <c r="E3" t="s">
        <v>25</v>
      </c>
      <c r="F3" t="s">
        <v>31</v>
      </c>
      <c r="G3" t="s">
        <v>23</v>
      </c>
      <c r="H3" s="3">
        <v>83758</v>
      </c>
      <c r="I3" s="3">
        <v>42863</v>
      </c>
      <c r="J3" s="3">
        <v>35360</v>
      </c>
      <c r="K3" s="3">
        <v>330</v>
      </c>
      <c r="L3" s="3">
        <v>43</v>
      </c>
      <c r="M3" s="3">
        <v>44</v>
      </c>
      <c r="N3" s="3">
        <v>35</v>
      </c>
      <c r="O3" s="3">
        <v>124</v>
      </c>
      <c r="P3" s="3"/>
      <c r="Q3" s="3">
        <v>452</v>
      </c>
      <c r="R3" s="4">
        <v>1.28</v>
      </c>
      <c r="S3" s="6">
        <f>GlowNestSocialTable3[[#This Row],[Link Clicks]]/GlowNestSocialTable3[[#This Row],[Reach]]</f>
        <v>3.5067873303167422E-3</v>
      </c>
    </row>
    <row r="4" spans="1:19">
      <c r="A4" t="s">
        <v>460</v>
      </c>
      <c r="B4" s="2">
        <v>45913</v>
      </c>
      <c r="C4" t="s">
        <v>193</v>
      </c>
      <c r="D4" t="s">
        <v>37</v>
      </c>
      <c r="E4" t="s">
        <v>49</v>
      </c>
      <c r="F4" t="s">
        <v>42</v>
      </c>
      <c r="G4" t="s">
        <v>23</v>
      </c>
      <c r="H4" s="3">
        <v>74611</v>
      </c>
      <c r="I4" s="3">
        <v>30400</v>
      </c>
      <c r="J4" s="3">
        <v>22387</v>
      </c>
      <c r="K4" s="3">
        <v>776</v>
      </c>
      <c r="L4" s="3">
        <v>124</v>
      </c>
      <c r="M4" s="3">
        <v>134</v>
      </c>
      <c r="N4" s="3">
        <v>114</v>
      </c>
      <c r="O4" s="3">
        <v>164</v>
      </c>
      <c r="P4" s="3"/>
      <c r="Q4" s="3">
        <v>1148</v>
      </c>
      <c r="R4" s="4">
        <v>5.13</v>
      </c>
      <c r="S4" s="6">
        <f>GlowNestSocialTable3[[#This Row],[Link Clicks]]/GlowNestSocialTable3[[#This Row],[Reach]]</f>
        <v>7.3256800821905567E-3</v>
      </c>
    </row>
    <row r="5" spans="1:19">
      <c r="A5" t="s">
        <v>460</v>
      </c>
      <c r="B5" s="2">
        <v>45913</v>
      </c>
      <c r="C5" t="s">
        <v>19</v>
      </c>
      <c r="D5" t="s">
        <v>30</v>
      </c>
      <c r="E5" t="s">
        <v>46</v>
      </c>
      <c r="F5" t="s">
        <v>44</v>
      </c>
      <c r="G5" t="s">
        <v>23</v>
      </c>
      <c r="H5" s="3">
        <v>71620</v>
      </c>
      <c r="I5" s="3">
        <v>22429</v>
      </c>
      <c r="J5" s="3">
        <v>18918</v>
      </c>
      <c r="K5" s="3">
        <v>619</v>
      </c>
      <c r="L5" s="3">
        <v>93</v>
      </c>
      <c r="M5" s="3">
        <v>96</v>
      </c>
      <c r="N5" s="3">
        <v>56</v>
      </c>
      <c r="O5" s="3">
        <v>195</v>
      </c>
      <c r="P5" s="3"/>
      <c r="Q5" s="3">
        <v>864</v>
      </c>
      <c r="R5" s="4">
        <v>4.57</v>
      </c>
      <c r="S5" s="6">
        <f>GlowNestSocialTable3[[#This Row],[Link Clicks]]/GlowNestSocialTable3[[#This Row],[Reach]]</f>
        <v>1.0307643514113543E-2</v>
      </c>
    </row>
    <row r="6" spans="1:19">
      <c r="A6" t="s">
        <v>18</v>
      </c>
      <c r="B6" s="2">
        <v>45658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s="3">
        <v>69314</v>
      </c>
      <c r="I6" s="3">
        <v>28217</v>
      </c>
      <c r="J6" s="3">
        <v>25676</v>
      </c>
      <c r="K6" s="3">
        <v>1198</v>
      </c>
      <c r="L6" s="3">
        <v>175</v>
      </c>
      <c r="M6" s="3">
        <v>117</v>
      </c>
      <c r="N6" s="3">
        <v>259</v>
      </c>
      <c r="O6" s="3">
        <v>291</v>
      </c>
      <c r="P6" s="3">
        <v>14530</v>
      </c>
      <c r="Q6" s="3">
        <v>1749</v>
      </c>
      <c r="R6" s="4">
        <v>6.81</v>
      </c>
      <c r="S6" s="6">
        <f>GlowNestSocialTable3[[#This Row],[Link Clicks]]/GlowNestSocialTable3[[#This Row],[Reach]]</f>
        <v>1.1333541050007789E-2</v>
      </c>
    </row>
    <row r="7" spans="1:19">
      <c r="A7" t="s">
        <v>24</v>
      </c>
      <c r="B7" s="2">
        <v>45658</v>
      </c>
      <c r="C7" t="s">
        <v>19</v>
      </c>
      <c r="D7" t="s">
        <v>20</v>
      </c>
      <c r="E7" t="s">
        <v>25</v>
      </c>
      <c r="F7" t="s">
        <v>22</v>
      </c>
      <c r="G7" t="s">
        <v>23</v>
      </c>
      <c r="H7" s="3">
        <v>65292</v>
      </c>
      <c r="I7" s="3">
        <v>42714</v>
      </c>
      <c r="J7" s="3">
        <v>30072</v>
      </c>
      <c r="K7" s="3">
        <v>838</v>
      </c>
      <c r="L7" s="3">
        <v>106</v>
      </c>
      <c r="M7" s="3">
        <v>103</v>
      </c>
      <c r="N7" s="3">
        <v>126</v>
      </c>
      <c r="O7" s="3">
        <v>273</v>
      </c>
      <c r="P7" s="3">
        <v>23201</v>
      </c>
      <c r="Q7" s="3">
        <v>1173</v>
      </c>
      <c r="R7" s="4">
        <v>3.9</v>
      </c>
      <c r="S7" s="6">
        <f>GlowNestSocialTable3[[#This Row],[Link Clicks]]/GlowNestSocialTable3[[#This Row],[Reach]]</f>
        <v>9.0782122905027941E-3</v>
      </c>
    </row>
    <row r="8" spans="1:19">
      <c r="A8" t="s">
        <v>26</v>
      </c>
      <c r="B8" s="2">
        <v>45659</v>
      </c>
      <c r="C8" t="s">
        <v>19</v>
      </c>
      <c r="D8" t="s">
        <v>20</v>
      </c>
      <c r="E8" t="s">
        <v>27</v>
      </c>
      <c r="F8" t="s">
        <v>28</v>
      </c>
      <c r="G8" t="s">
        <v>23</v>
      </c>
      <c r="H8" s="3">
        <v>69676</v>
      </c>
      <c r="I8" s="3">
        <v>35327</v>
      </c>
      <c r="J8" s="3">
        <v>25104</v>
      </c>
      <c r="K8" s="3">
        <v>1549</v>
      </c>
      <c r="L8" s="3">
        <v>207</v>
      </c>
      <c r="M8" s="3">
        <v>170</v>
      </c>
      <c r="N8" s="3">
        <v>289</v>
      </c>
      <c r="O8" s="3">
        <v>351</v>
      </c>
      <c r="P8" s="3">
        <v>17044</v>
      </c>
      <c r="Q8" s="3">
        <v>2215</v>
      </c>
      <c r="R8" s="4">
        <v>8.82</v>
      </c>
      <c r="S8" s="6">
        <f>GlowNestSocialTable3[[#This Row],[Link Clicks]]/GlowNestSocialTable3[[#This Row],[Reach]]</f>
        <v>1.3981835564053538E-2</v>
      </c>
    </row>
    <row r="9" spans="1:19">
      <c r="A9" t="s">
        <v>29</v>
      </c>
      <c r="B9" s="2">
        <v>45659</v>
      </c>
      <c r="C9" t="s">
        <v>19</v>
      </c>
      <c r="D9" t="s">
        <v>30</v>
      </c>
      <c r="E9" t="s">
        <v>25</v>
      </c>
      <c r="F9" t="s">
        <v>31</v>
      </c>
      <c r="G9" t="s">
        <v>23</v>
      </c>
      <c r="H9" s="3">
        <v>66658</v>
      </c>
      <c r="I9" s="3">
        <v>24318</v>
      </c>
      <c r="J9" s="3">
        <v>18331</v>
      </c>
      <c r="K9" s="3">
        <v>324</v>
      </c>
      <c r="L9" s="3">
        <v>38</v>
      </c>
      <c r="M9" s="3">
        <v>38</v>
      </c>
      <c r="N9" s="3">
        <v>41</v>
      </c>
      <c r="O9" s="3">
        <v>132</v>
      </c>
      <c r="P9" s="3"/>
      <c r="Q9" s="3">
        <v>441</v>
      </c>
      <c r="R9" s="4">
        <v>2.41</v>
      </c>
      <c r="S9" s="6">
        <f>GlowNestSocialTable3[[#This Row],[Link Clicks]]/GlowNestSocialTable3[[#This Row],[Reach]]</f>
        <v>7.2009164802793084E-3</v>
      </c>
    </row>
    <row r="10" spans="1:19">
      <c r="A10" t="s">
        <v>32</v>
      </c>
      <c r="B10" s="2">
        <v>45660</v>
      </c>
      <c r="C10" t="s">
        <v>33</v>
      </c>
      <c r="D10" t="s">
        <v>34</v>
      </c>
      <c r="E10" t="s">
        <v>27</v>
      </c>
      <c r="F10" t="s">
        <v>31</v>
      </c>
      <c r="G10" t="s">
        <v>23</v>
      </c>
      <c r="H10" s="3">
        <v>31779</v>
      </c>
      <c r="I10" s="3">
        <v>12567</v>
      </c>
      <c r="J10" s="3">
        <v>8600</v>
      </c>
      <c r="K10" s="3">
        <v>260</v>
      </c>
      <c r="L10" s="3">
        <v>37</v>
      </c>
      <c r="M10" s="3">
        <v>42</v>
      </c>
      <c r="N10" s="3">
        <v>57</v>
      </c>
      <c r="O10" s="3">
        <v>130</v>
      </c>
      <c r="P10" s="3"/>
      <c r="Q10" s="3">
        <v>396</v>
      </c>
      <c r="R10" s="4">
        <v>4.5999999999999996</v>
      </c>
      <c r="S10" s="6">
        <f>GlowNestSocialTable3[[#This Row],[Link Clicks]]/GlowNestSocialTable3[[#This Row],[Reach]]</f>
        <v>1.5116279069767442E-2</v>
      </c>
    </row>
    <row r="11" spans="1:19">
      <c r="A11" t="s">
        <v>35</v>
      </c>
      <c r="B11" s="2">
        <v>45661</v>
      </c>
      <c r="C11" t="s">
        <v>36</v>
      </c>
      <c r="D11" t="s">
        <v>37</v>
      </c>
      <c r="E11" t="s">
        <v>25</v>
      </c>
      <c r="F11" t="s">
        <v>28</v>
      </c>
      <c r="G11" t="s">
        <v>38</v>
      </c>
      <c r="H11" s="3">
        <v>79412</v>
      </c>
      <c r="I11" s="3">
        <v>98802</v>
      </c>
      <c r="J11" s="3">
        <v>65312</v>
      </c>
      <c r="K11" s="3">
        <v>660</v>
      </c>
      <c r="L11" s="3">
        <v>74</v>
      </c>
      <c r="M11" s="3">
        <v>96</v>
      </c>
      <c r="N11" s="3">
        <v>49</v>
      </c>
      <c r="O11" s="3">
        <v>274</v>
      </c>
      <c r="P11" s="3"/>
      <c r="Q11" s="3">
        <v>879</v>
      </c>
      <c r="R11" s="4">
        <v>1.35</v>
      </c>
      <c r="S11" s="6">
        <f>GlowNestSocialTable3[[#This Row],[Link Clicks]]/GlowNestSocialTable3[[#This Row],[Reach]]</f>
        <v>4.1952474277315039E-3</v>
      </c>
    </row>
    <row r="12" spans="1:19">
      <c r="A12" t="s">
        <v>39</v>
      </c>
      <c r="B12" s="2">
        <v>45661</v>
      </c>
      <c r="C12" t="s">
        <v>19</v>
      </c>
      <c r="D12" t="s">
        <v>37</v>
      </c>
      <c r="E12" t="s">
        <v>25</v>
      </c>
      <c r="F12" t="s">
        <v>22</v>
      </c>
      <c r="G12" t="s">
        <v>38</v>
      </c>
      <c r="H12" s="3">
        <v>67886</v>
      </c>
      <c r="I12" s="3">
        <v>54745</v>
      </c>
      <c r="J12" s="3">
        <v>36198</v>
      </c>
      <c r="K12" s="3">
        <v>863</v>
      </c>
      <c r="L12" s="3">
        <v>102</v>
      </c>
      <c r="M12" s="3">
        <v>139</v>
      </c>
      <c r="N12" s="3">
        <v>162</v>
      </c>
      <c r="O12" s="3">
        <v>254</v>
      </c>
      <c r="P12" s="3"/>
      <c r="Q12" s="3">
        <v>1266</v>
      </c>
      <c r="R12" s="4">
        <v>3.5</v>
      </c>
      <c r="S12" s="6">
        <f>GlowNestSocialTable3[[#This Row],[Link Clicks]]/GlowNestSocialTable3[[#This Row],[Reach]]</f>
        <v>7.0169622631084594E-3</v>
      </c>
    </row>
    <row r="13" spans="1:19">
      <c r="A13" t="s">
        <v>40</v>
      </c>
      <c r="B13" s="2">
        <v>45662</v>
      </c>
      <c r="C13" t="s">
        <v>36</v>
      </c>
      <c r="D13" t="s">
        <v>34</v>
      </c>
      <c r="E13" t="s">
        <v>25</v>
      </c>
      <c r="F13" t="s">
        <v>28</v>
      </c>
      <c r="G13" t="s">
        <v>38</v>
      </c>
      <c r="H13" s="3">
        <v>82175</v>
      </c>
      <c r="I13" s="3">
        <v>64896</v>
      </c>
      <c r="J13" s="3">
        <v>42350</v>
      </c>
      <c r="K13" s="3">
        <v>323</v>
      </c>
      <c r="L13" s="3">
        <v>46</v>
      </c>
      <c r="M13" s="3">
        <v>45</v>
      </c>
      <c r="N13" s="3">
        <v>16</v>
      </c>
      <c r="O13" s="3">
        <v>212</v>
      </c>
      <c r="P13" s="3"/>
      <c r="Q13" s="3">
        <v>430</v>
      </c>
      <c r="R13" s="4">
        <v>1.02</v>
      </c>
      <c r="S13" s="6">
        <f>GlowNestSocialTable3[[#This Row],[Link Clicks]]/GlowNestSocialTable3[[#This Row],[Reach]]</f>
        <v>5.0059031877213696E-3</v>
      </c>
    </row>
    <row r="14" spans="1:19">
      <c r="A14" t="s">
        <v>41</v>
      </c>
      <c r="B14" s="2">
        <v>45662</v>
      </c>
      <c r="C14" t="s">
        <v>36</v>
      </c>
      <c r="D14" t="s">
        <v>37</v>
      </c>
      <c r="E14" t="s">
        <v>25</v>
      </c>
      <c r="F14" t="s">
        <v>42</v>
      </c>
      <c r="G14" t="s">
        <v>38</v>
      </c>
      <c r="H14" s="3">
        <v>82216</v>
      </c>
      <c r="I14" s="3">
        <v>90030</v>
      </c>
      <c r="J14" s="3">
        <v>59219</v>
      </c>
      <c r="K14" s="3">
        <v>596</v>
      </c>
      <c r="L14" s="3">
        <v>66</v>
      </c>
      <c r="M14" s="3">
        <v>67</v>
      </c>
      <c r="N14" s="3">
        <v>44</v>
      </c>
      <c r="O14" s="3">
        <v>294</v>
      </c>
      <c r="P14" s="3"/>
      <c r="Q14" s="3">
        <v>773</v>
      </c>
      <c r="R14" s="4">
        <v>1.31</v>
      </c>
      <c r="S14" s="6">
        <f>GlowNestSocialTable3[[#This Row],[Link Clicks]]/GlowNestSocialTable3[[#This Row],[Reach]]</f>
        <v>4.9646228406423614E-3</v>
      </c>
    </row>
    <row r="15" spans="1:19">
      <c r="A15" t="s">
        <v>43</v>
      </c>
      <c r="B15" s="2">
        <v>45663</v>
      </c>
      <c r="C15" t="s">
        <v>19</v>
      </c>
      <c r="D15" t="s">
        <v>37</v>
      </c>
      <c r="E15" t="s">
        <v>27</v>
      </c>
      <c r="F15" t="s">
        <v>44</v>
      </c>
      <c r="G15" t="s">
        <v>23</v>
      </c>
      <c r="H15" s="3">
        <v>67976</v>
      </c>
      <c r="I15" s="3">
        <v>29418</v>
      </c>
      <c r="J15" s="3">
        <v>23688</v>
      </c>
      <c r="K15" s="3">
        <v>1129</v>
      </c>
      <c r="L15" s="3">
        <v>180</v>
      </c>
      <c r="M15" s="3">
        <v>168</v>
      </c>
      <c r="N15" s="3">
        <v>202</v>
      </c>
      <c r="O15" s="3">
        <v>332</v>
      </c>
      <c r="P15" s="3"/>
      <c r="Q15" s="3">
        <v>1679</v>
      </c>
      <c r="R15" s="4">
        <v>7.09</v>
      </c>
      <c r="S15" s="6">
        <f>GlowNestSocialTable3[[#This Row],[Link Clicks]]/GlowNestSocialTable3[[#This Row],[Reach]]</f>
        <v>1.4015535292131037E-2</v>
      </c>
    </row>
    <row r="16" spans="1:19">
      <c r="A16" t="s">
        <v>45</v>
      </c>
      <c r="B16" s="2">
        <v>45664</v>
      </c>
      <c r="C16" t="s">
        <v>33</v>
      </c>
      <c r="D16" t="s">
        <v>20</v>
      </c>
      <c r="E16" t="s">
        <v>46</v>
      </c>
      <c r="F16" t="s">
        <v>28</v>
      </c>
      <c r="G16" t="s">
        <v>23</v>
      </c>
      <c r="H16" s="3">
        <v>32149</v>
      </c>
      <c r="I16" s="3">
        <v>10636</v>
      </c>
      <c r="J16" s="3">
        <v>7326</v>
      </c>
      <c r="K16" s="3">
        <v>226</v>
      </c>
      <c r="L16" s="3">
        <v>26</v>
      </c>
      <c r="M16" s="3">
        <v>29</v>
      </c>
      <c r="N16" s="3">
        <v>28</v>
      </c>
      <c r="O16" s="3">
        <v>122</v>
      </c>
      <c r="P16" s="3">
        <v>4334</v>
      </c>
      <c r="Q16" s="3">
        <v>309</v>
      </c>
      <c r="R16" s="4">
        <v>4.22</v>
      </c>
      <c r="S16" s="6">
        <f>GlowNestSocialTable3[[#This Row],[Link Clicks]]/GlowNestSocialTable3[[#This Row],[Reach]]</f>
        <v>1.6653016653016654E-2</v>
      </c>
    </row>
    <row r="17" spans="1:19">
      <c r="A17" t="s">
        <v>47</v>
      </c>
      <c r="B17" s="2">
        <v>45664</v>
      </c>
      <c r="C17" t="s">
        <v>33</v>
      </c>
      <c r="D17" t="s">
        <v>30</v>
      </c>
      <c r="E17" t="s">
        <v>46</v>
      </c>
      <c r="F17" t="s">
        <v>31</v>
      </c>
      <c r="G17" t="s">
        <v>23</v>
      </c>
      <c r="H17" s="3">
        <v>33214</v>
      </c>
      <c r="I17" s="3">
        <v>6632</v>
      </c>
      <c r="J17" s="3">
        <v>5797</v>
      </c>
      <c r="K17" s="3">
        <v>144</v>
      </c>
      <c r="L17" s="3">
        <v>19</v>
      </c>
      <c r="M17" s="3">
        <v>16</v>
      </c>
      <c r="N17" s="3">
        <v>17</v>
      </c>
      <c r="O17" s="3">
        <v>91</v>
      </c>
      <c r="P17" s="3"/>
      <c r="Q17" s="3">
        <v>196</v>
      </c>
      <c r="R17" s="4">
        <v>3.38</v>
      </c>
      <c r="S17" s="6">
        <f>GlowNestSocialTable3[[#This Row],[Link Clicks]]/GlowNestSocialTable3[[#This Row],[Reach]]</f>
        <v>1.5697774711057443E-2</v>
      </c>
    </row>
    <row r="18" spans="1:19">
      <c r="A18" t="s">
        <v>48</v>
      </c>
      <c r="B18" s="2">
        <v>45665</v>
      </c>
      <c r="C18" t="s">
        <v>19</v>
      </c>
      <c r="D18" t="s">
        <v>30</v>
      </c>
      <c r="E18" t="s">
        <v>49</v>
      </c>
      <c r="F18" t="s">
        <v>31</v>
      </c>
      <c r="G18" t="s">
        <v>38</v>
      </c>
      <c r="H18" s="3">
        <v>68168</v>
      </c>
      <c r="I18" s="3">
        <v>36680</v>
      </c>
      <c r="J18" s="3">
        <v>33445</v>
      </c>
      <c r="K18" s="3">
        <v>1069</v>
      </c>
      <c r="L18" s="3">
        <v>151</v>
      </c>
      <c r="M18" s="3">
        <v>141</v>
      </c>
      <c r="N18" s="3">
        <v>146</v>
      </c>
      <c r="O18" s="3">
        <v>291</v>
      </c>
      <c r="P18" s="3"/>
      <c r="Q18" s="3">
        <v>1507</v>
      </c>
      <c r="R18" s="4">
        <v>4.51</v>
      </c>
      <c r="S18" s="6">
        <f>GlowNestSocialTable3[[#This Row],[Link Clicks]]/GlowNestSocialTable3[[#This Row],[Reach]]</f>
        <v>8.7008521453132009E-3</v>
      </c>
    </row>
    <row r="19" spans="1:19">
      <c r="A19" t="s">
        <v>50</v>
      </c>
      <c r="B19" s="2">
        <v>45665</v>
      </c>
      <c r="C19" t="s">
        <v>33</v>
      </c>
      <c r="D19" t="s">
        <v>34</v>
      </c>
      <c r="E19" t="s">
        <v>46</v>
      </c>
      <c r="F19" t="s">
        <v>42</v>
      </c>
      <c r="G19" t="s">
        <v>23</v>
      </c>
      <c r="H19" s="3">
        <v>30815</v>
      </c>
      <c r="I19" s="3">
        <v>4656</v>
      </c>
      <c r="J19" s="3">
        <v>4231</v>
      </c>
      <c r="K19" s="3">
        <v>66</v>
      </c>
      <c r="L19" s="3">
        <v>13</v>
      </c>
      <c r="M19" s="3">
        <v>11</v>
      </c>
      <c r="N19" s="3">
        <v>8</v>
      </c>
      <c r="O19" s="3">
        <v>52</v>
      </c>
      <c r="P19" s="3"/>
      <c r="Q19" s="3">
        <v>98</v>
      </c>
      <c r="R19" s="4">
        <v>2.3199999999999998</v>
      </c>
      <c r="S19" s="6">
        <f>GlowNestSocialTable3[[#This Row],[Link Clicks]]/GlowNestSocialTable3[[#This Row],[Reach]]</f>
        <v>1.2290238714251949E-2</v>
      </c>
    </row>
    <row r="20" spans="1:19">
      <c r="A20" t="s">
        <v>51</v>
      </c>
      <c r="B20" s="2">
        <v>45666</v>
      </c>
      <c r="C20" t="s">
        <v>36</v>
      </c>
      <c r="D20" t="s">
        <v>37</v>
      </c>
      <c r="E20" t="s">
        <v>25</v>
      </c>
      <c r="F20" t="s">
        <v>31</v>
      </c>
      <c r="G20" t="s">
        <v>23</v>
      </c>
      <c r="H20" s="3">
        <v>81551</v>
      </c>
      <c r="I20" s="3">
        <v>57188</v>
      </c>
      <c r="J20" s="3">
        <v>46115</v>
      </c>
      <c r="K20" s="3">
        <v>628</v>
      </c>
      <c r="L20" s="3">
        <v>63</v>
      </c>
      <c r="M20" s="3">
        <v>56</v>
      </c>
      <c r="N20" s="3">
        <v>89</v>
      </c>
      <c r="O20" s="3">
        <v>155</v>
      </c>
      <c r="P20" s="3"/>
      <c r="Q20" s="3">
        <v>836</v>
      </c>
      <c r="R20" s="4">
        <v>1.81</v>
      </c>
      <c r="S20" s="6">
        <f>GlowNestSocialTable3[[#This Row],[Link Clicks]]/GlowNestSocialTable3[[#This Row],[Reach]]</f>
        <v>3.3611623116122737E-3</v>
      </c>
    </row>
    <row r="21" spans="1:19">
      <c r="A21" t="s">
        <v>52</v>
      </c>
      <c r="B21" s="2">
        <v>45667</v>
      </c>
      <c r="C21" t="s">
        <v>19</v>
      </c>
      <c r="D21" t="s">
        <v>30</v>
      </c>
      <c r="E21" t="s">
        <v>21</v>
      </c>
      <c r="F21" t="s">
        <v>44</v>
      </c>
      <c r="G21" t="s">
        <v>38</v>
      </c>
      <c r="H21" s="3">
        <v>67498</v>
      </c>
      <c r="I21" s="3">
        <v>41849</v>
      </c>
      <c r="J21" s="3">
        <v>33408</v>
      </c>
      <c r="K21" s="3">
        <v>899</v>
      </c>
      <c r="L21" s="3">
        <v>136</v>
      </c>
      <c r="M21" s="3">
        <v>117</v>
      </c>
      <c r="N21" s="3">
        <v>113</v>
      </c>
      <c r="O21" s="3">
        <v>279</v>
      </c>
      <c r="P21" s="3"/>
      <c r="Q21" s="3">
        <v>1265</v>
      </c>
      <c r="R21" s="4">
        <v>3.79</v>
      </c>
      <c r="S21" s="6">
        <f>GlowNestSocialTable3[[#This Row],[Link Clicks]]/GlowNestSocialTable3[[#This Row],[Reach]]</f>
        <v>8.3512931034482752E-3</v>
      </c>
    </row>
    <row r="22" spans="1:19">
      <c r="A22" t="s">
        <v>53</v>
      </c>
      <c r="B22" s="2">
        <v>45667</v>
      </c>
      <c r="C22" t="s">
        <v>33</v>
      </c>
      <c r="D22" t="s">
        <v>34</v>
      </c>
      <c r="E22" t="s">
        <v>49</v>
      </c>
      <c r="F22" t="s">
        <v>22</v>
      </c>
      <c r="G22" t="s">
        <v>23</v>
      </c>
      <c r="H22" s="3">
        <v>29538</v>
      </c>
      <c r="I22" s="3">
        <v>6549</v>
      </c>
      <c r="J22" s="3">
        <v>4496</v>
      </c>
      <c r="K22" s="3">
        <v>100</v>
      </c>
      <c r="L22" s="3">
        <v>16</v>
      </c>
      <c r="M22" s="3">
        <v>15</v>
      </c>
      <c r="N22" s="3">
        <v>2</v>
      </c>
      <c r="O22" s="3">
        <v>66</v>
      </c>
      <c r="P22" s="3"/>
      <c r="Q22" s="3">
        <v>133</v>
      </c>
      <c r="R22" s="4">
        <v>2.96</v>
      </c>
      <c r="S22" s="6">
        <f>GlowNestSocialTable3[[#This Row],[Link Clicks]]/GlowNestSocialTable3[[#This Row],[Reach]]</f>
        <v>1.4679715302491103E-2</v>
      </c>
    </row>
    <row r="23" spans="1:19">
      <c r="A23" t="s">
        <v>54</v>
      </c>
      <c r="B23" s="2">
        <v>45668</v>
      </c>
      <c r="C23" t="s">
        <v>19</v>
      </c>
      <c r="D23" t="s">
        <v>20</v>
      </c>
      <c r="E23" t="s">
        <v>25</v>
      </c>
      <c r="F23" t="s">
        <v>28</v>
      </c>
      <c r="G23" t="s">
        <v>23</v>
      </c>
      <c r="H23" s="3">
        <v>68264</v>
      </c>
      <c r="I23" s="3">
        <v>39405</v>
      </c>
      <c r="J23" s="3">
        <v>30150</v>
      </c>
      <c r="K23" s="3">
        <v>1004</v>
      </c>
      <c r="L23" s="3">
        <v>176</v>
      </c>
      <c r="M23" s="3">
        <v>168</v>
      </c>
      <c r="N23" s="3">
        <v>63</v>
      </c>
      <c r="O23" s="3">
        <v>298</v>
      </c>
      <c r="P23" s="3">
        <v>20292</v>
      </c>
      <c r="Q23" s="3">
        <v>1411</v>
      </c>
      <c r="R23" s="4">
        <v>4.68</v>
      </c>
      <c r="S23" s="6">
        <f>GlowNestSocialTable3[[#This Row],[Link Clicks]]/GlowNestSocialTable3[[#This Row],[Reach]]</f>
        <v>9.8839137645107787E-3</v>
      </c>
    </row>
    <row r="24" spans="1:19">
      <c r="A24" t="s">
        <v>55</v>
      </c>
      <c r="B24" s="2">
        <v>45668</v>
      </c>
      <c r="C24" t="s">
        <v>19</v>
      </c>
      <c r="D24" t="s">
        <v>20</v>
      </c>
      <c r="E24" t="s">
        <v>27</v>
      </c>
      <c r="F24" t="s">
        <v>31</v>
      </c>
      <c r="G24" t="s">
        <v>38</v>
      </c>
      <c r="H24" s="3">
        <v>69217</v>
      </c>
      <c r="I24" s="3">
        <v>61861</v>
      </c>
      <c r="J24" s="3">
        <v>42385</v>
      </c>
      <c r="K24" s="3">
        <v>2290</v>
      </c>
      <c r="L24" s="3">
        <v>349</v>
      </c>
      <c r="M24" s="3">
        <v>353</v>
      </c>
      <c r="N24" s="3">
        <v>460</v>
      </c>
      <c r="O24" s="3">
        <v>691</v>
      </c>
      <c r="P24" s="3">
        <v>30450</v>
      </c>
      <c r="Q24" s="3">
        <v>3452</v>
      </c>
      <c r="R24" s="4">
        <v>8.14</v>
      </c>
      <c r="S24" s="6">
        <f>GlowNestSocialTable3[[#This Row],[Link Clicks]]/GlowNestSocialTable3[[#This Row],[Reach]]</f>
        <v>1.6302937359915063E-2</v>
      </c>
    </row>
    <row r="25" spans="1:19">
      <c r="A25" t="s">
        <v>56</v>
      </c>
      <c r="B25" s="2">
        <v>45669</v>
      </c>
      <c r="C25" t="s">
        <v>33</v>
      </c>
      <c r="D25" t="s">
        <v>34</v>
      </c>
      <c r="E25" t="s">
        <v>27</v>
      </c>
      <c r="F25" t="s">
        <v>44</v>
      </c>
      <c r="G25" t="s">
        <v>23</v>
      </c>
      <c r="H25" s="3">
        <v>32540</v>
      </c>
      <c r="I25" s="3">
        <v>9299</v>
      </c>
      <c r="J25" s="3">
        <v>7806</v>
      </c>
      <c r="K25" s="3">
        <v>252</v>
      </c>
      <c r="L25" s="3">
        <v>33</v>
      </c>
      <c r="M25" s="3">
        <v>42</v>
      </c>
      <c r="N25" s="3">
        <v>26</v>
      </c>
      <c r="O25" s="3">
        <v>130</v>
      </c>
      <c r="P25" s="3"/>
      <c r="Q25" s="3">
        <v>353</v>
      </c>
      <c r="R25" s="4">
        <v>4.5199999999999996</v>
      </c>
      <c r="S25" s="6">
        <f>GlowNestSocialTable3[[#This Row],[Link Clicks]]/GlowNestSocialTable3[[#This Row],[Reach]]</f>
        <v>1.6653856008198822E-2</v>
      </c>
    </row>
    <row r="26" spans="1:19">
      <c r="A26" t="s">
        <v>57</v>
      </c>
      <c r="B26" s="2">
        <v>45670</v>
      </c>
      <c r="C26" t="s">
        <v>36</v>
      </c>
      <c r="D26" t="s">
        <v>37</v>
      </c>
      <c r="E26" t="s">
        <v>46</v>
      </c>
      <c r="F26" t="s">
        <v>44</v>
      </c>
      <c r="G26" t="s">
        <v>23</v>
      </c>
      <c r="H26" s="3">
        <v>83555</v>
      </c>
      <c r="I26" s="3">
        <v>49814</v>
      </c>
      <c r="J26" s="3">
        <v>34545</v>
      </c>
      <c r="K26" s="3">
        <v>556</v>
      </c>
      <c r="L26" s="3">
        <v>99</v>
      </c>
      <c r="M26" s="3">
        <v>52</v>
      </c>
      <c r="N26" s="3">
        <v>78</v>
      </c>
      <c r="O26" s="3">
        <v>153</v>
      </c>
      <c r="P26" s="3"/>
      <c r="Q26" s="3">
        <v>785</v>
      </c>
      <c r="R26" s="4">
        <v>2.27</v>
      </c>
      <c r="S26" s="6">
        <f>GlowNestSocialTable3[[#This Row],[Link Clicks]]/GlowNestSocialTable3[[#This Row],[Reach]]</f>
        <v>4.4290056448111157E-3</v>
      </c>
    </row>
    <row r="27" spans="1:19">
      <c r="A27" t="s">
        <v>58</v>
      </c>
      <c r="B27" s="2">
        <v>45670</v>
      </c>
      <c r="C27" t="s">
        <v>33</v>
      </c>
      <c r="D27" t="s">
        <v>34</v>
      </c>
      <c r="E27" t="s">
        <v>46</v>
      </c>
      <c r="F27" t="s">
        <v>22</v>
      </c>
      <c r="G27" t="s">
        <v>23</v>
      </c>
      <c r="H27" s="3">
        <v>31452</v>
      </c>
      <c r="I27" s="3">
        <v>8801</v>
      </c>
      <c r="J27" s="3">
        <v>5936</v>
      </c>
      <c r="K27" s="3">
        <v>122</v>
      </c>
      <c r="L27" s="3">
        <v>14</v>
      </c>
      <c r="M27" s="3">
        <v>17</v>
      </c>
      <c r="N27" s="3">
        <v>9</v>
      </c>
      <c r="O27" s="3">
        <v>114</v>
      </c>
      <c r="P27" s="3"/>
      <c r="Q27" s="3">
        <v>162</v>
      </c>
      <c r="R27" s="4">
        <v>2.73</v>
      </c>
      <c r="S27" s="6">
        <f>GlowNestSocialTable3[[#This Row],[Link Clicks]]/GlowNestSocialTable3[[#This Row],[Reach]]</f>
        <v>1.9204851752021565E-2</v>
      </c>
    </row>
    <row r="28" spans="1:19">
      <c r="A28" t="s">
        <v>59</v>
      </c>
      <c r="B28" s="2">
        <v>45671</v>
      </c>
      <c r="C28" t="s">
        <v>36</v>
      </c>
      <c r="D28" t="s">
        <v>20</v>
      </c>
      <c r="E28" t="s">
        <v>46</v>
      </c>
      <c r="F28" t="s">
        <v>31</v>
      </c>
      <c r="G28" t="s">
        <v>23</v>
      </c>
      <c r="H28" s="3">
        <v>83160</v>
      </c>
      <c r="I28" s="3">
        <v>39016</v>
      </c>
      <c r="J28" s="3">
        <v>35599</v>
      </c>
      <c r="K28" s="3">
        <v>588</v>
      </c>
      <c r="L28" s="3">
        <v>71</v>
      </c>
      <c r="M28" s="3">
        <v>92</v>
      </c>
      <c r="N28" s="3">
        <v>230</v>
      </c>
      <c r="O28" s="3">
        <v>209</v>
      </c>
      <c r="P28" s="3">
        <v>30308</v>
      </c>
      <c r="Q28" s="3">
        <v>981</v>
      </c>
      <c r="R28" s="4">
        <v>2.76</v>
      </c>
      <c r="S28" s="6">
        <f>GlowNestSocialTable3[[#This Row],[Link Clicks]]/GlowNestSocialTable3[[#This Row],[Reach]]</f>
        <v>5.8709514312199782E-3</v>
      </c>
    </row>
    <row r="29" spans="1:19">
      <c r="A29" t="s">
        <v>60</v>
      </c>
      <c r="B29" s="2">
        <v>45671</v>
      </c>
      <c r="C29" t="s">
        <v>19</v>
      </c>
      <c r="D29" t="s">
        <v>20</v>
      </c>
      <c r="E29" t="s">
        <v>49</v>
      </c>
      <c r="F29" t="s">
        <v>31</v>
      </c>
      <c r="G29" t="s">
        <v>23</v>
      </c>
      <c r="H29" s="3">
        <v>68871</v>
      </c>
      <c r="I29" s="3">
        <v>43583</v>
      </c>
      <c r="J29" s="3">
        <v>28564</v>
      </c>
      <c r="K29" s="3">
        <v>1266</v>
      </c>
      <c r="L29" s="3">
        <v>252</v>
      </c>
      <c r="M29" s="3">
        <v>202</v>
      </c>
      <c r="N29" s="3">
        <v>354</v>
      </c>
      <c r="O29" s="3">
        <v>245</v>
      </c>
      <c r="P29" s="3">
        <v>25047</v>
      </c>
      <c r="Q29" s="3">
        <v>2074</v>
      </c>
      <c r="R29" s="4">
        <v>7.26</v>
      </c>
      <c r="S29" s="6">
        <f>GlowNestSocialTable3[[#This Row],[Link Clicks]]/GlowNestSocialTable3[[#This Row],[Reach]]</f>
        <v>8.5772300798207541E-3</v>
      </c>
    </row>
    <row r="30" spans="1:19">
      <c r="A30" t="s">
        <v>61</v>
      </c>
      <c r="B30" s="2">
        <v>45672</v>
      </c>
      <c r="C30" t="s">
        <v>19</v>
      </c>
      <c r="D30" t="s">
        <v>30</v>
      </c>
      <c r="E30" t="s">
        <v>49</v>
      </c>
      <c r="F30" t="s">
        <v>22</v>
      </c>
      <c r="G30" t="s">
        <v>38</v>
      </c>
      <c r="H30" s="3">
        <v>67170</v>
      </c>
      <c r="I30" s="3">
        <v>32202</v>
      </c>
      <c r="J30" s="3">
        <v>27603</v>
      </c>
      <c r="K30" s="3">
        <v>891</v>
      </c>
      <c r="L30" s="3">
        <v>128</v>
      </c>
      <c r="M30" s="3">
        <v>101</v>
      </c>
      <c r="N30" s="3">
        <v>68</v>
      </c>
      <c r="O30" s="3">
        <v>176</v>
      </c>
      <c r="P30" s="3"/>
      <c r="Q30" s="3">
        <v>1188</v>
      </c>
      <c r="R30" s="4">
        <v>4.3</v>
      </c>
      <c r="S30" s="6">
        <f>GlowNestSocialTable3[[#This Row],[Link Clicks]]/GlowNestSocialTable3[[#This Row],[Reach]]</f>
        <v>6.3761185378400902E-3</v>
      </c>
    </row>
    <row r="31" spans="1:19">
      <c r="A31" t="s">
        <v>62</v>
      </c>
      <c r="B31" s="2">
        <v>45673</v>
      </c>
      <c r="C31" t="s">
        <v>19</v>
      </c>
      <c r="D31" t="s">
        <v>34</v>
      </c>
      <c r="E31" t="s">
        <v>25</v>
      </c>
      <c r="F31" t="s">
        <v>42</v>
      </c>
      <c r="G31" t="s">
        <v>23</v>
      </c>
      <c r="H31" s="3">
        <v>69326</v>
      </c>
      <c r="I31" s="3">
        <v>27571</v>
      </c>
      <c r="J31" s="3">
        <v>23002</v>
      </c>
      <c r="K31" s="3">
        <v>386</v>
      </c>
      <c r="L31" s="3">
        <v>57</v>
      </c>
      <c r="M31" s="3">
        <v>47</v>
      </c>
      <c r="N31" s="3">
        <v>42</v>
      </c>
      <c r="O31" s="3">
        <v>277</v>
      </c>
      <c r="P31" s="3"/>
      <c r="Q31" s="3">
        <v>532</v>
      </c>
      <c r="R31" s="4">
        <v>2.31</v>
      </c>
      <c r="S31" s="6">
        <f>GlowNestSocialTable3[[#This Row],[Link Clicks]]/GlowNestSocialTable3[[#This Row],[Reach]]</f>
        <v>1.204243109294844E-2</v>
      </c>
    </row>
    <row r="32" spans="1:19">
      <c r="A32" t="s">
        <v>63</v>
      </c>
      <c r="B32" s="2">
        <v>45673</v>
      </c>
      <c r="C32" t="s">
        <v>19</v>
      </c>
      <c r="D32" t="s">
        <v>30</v>
      </c>
      <c r="E32" t="s">
        <v>25</v>
      </c>
      <c r="F32" t="s">
        <v>31</v>
      </c>
      <c r="G32" t="s">
        <v>23</v>
      </c>
      <c r="H32" s="3">
        <v>69020</v>
      </c>
      <c r="I32" s="3">
        <v>38207</v>
      </c>
      <c r="J32" s="3">
        <v>25250</v>
      </c>
      <c r="K32" s="3">
        <v>419</v>
      </c>
      <c r="L32" s="3">
        <v>53</v>
      </c>
      <c r="M32" s="3">
        <v>53</v>
      </c>
      <c r="N32" s="3">
        <v>65</v>
      </c>
      <c r="O32" s="3">
        <v>172</v>
      </c>
      <c r="P32" s="3"/>
      <c r="Q32" s="3">
        <v>590</v>
      </c>
      <c r="R32" s="4">
        <v>2.34</v>
      </c>
      <c r="S32" s="6">
        <f>GlowNestSocialTable3[[#This Row],[Link Clicks]]/GlowNestSocialTable3[[#This Row],[Reach]]</f>
        <v>6.8118811881188119E-3</v>
      </c>
    </row>
    <row r="33" spans="1:19">
      <c r="A33" t="s">
        <v>64</v>
      </c>
      <c r="B33" s="2">
        <v>45674</v>
      </c>
      <c r="C33" t="s">
        <v>19</v>
      </c>
      <c r="D33" t="s">
        <v>20</v>
      </c>
      <c r="E33" t="s">
        <v>27</v>
      </c>
      <c r="F33" t="s">
        <v>22</v>
      </c>
      <c r="G33" t="s">
        <v>23</v>
      </c>
      <c r="H33" s="3">
        <v>69127</v>
      </c>
      <c r="I33" s="3">
        <v>52521</v>
      </c>
      <c r="J33" s="3">
        <v>40346</v>
      </c>
      <c r="K33" s="3">
        <v>2936</v>
      </c>
      <c r="L33" s="3">
        <v>352</v>
      </c>
      <c r="M33" s="3">
        <v>319</v>
      </c>
      <c r="N33" s="3">
        <v>820</v>
      </c>
      <c r="O33" s="3">
        <v>532</v>
      </c>
      <c r="P33" s="3">
        <v>22463</v>
      </c>
      <c r="Q33" s="3">
        <v>4427</v>
      </c>
      <c r="R33" s="4">
        <v>10.97</v>
      </c>
      <c r="S33" s="6">
        <f>GlowNestSocialTable3[[#This Row],[Link Clicks]]/GlowNestSocialTable3[[#This Row],[Reach]]</f>
        <v>1.3185941605115749E-2</v>
      </c>
    </row>
    <row r="34" spans="1:19">
      <c r="A34" t="s">
        <v>65</v>
      </c>
      <c r="B34" s="2">
        <v>45675</v>
      </c>
      <c r="C34" t="s">
        <v>19</v>
      </c>
      <c r="D34" t="s">
        <v>20</v>
      </c>
      <c r="E34" t="s">
        <v>21</v>
      </c>
      <c r="F34" t="s">
        <v>22</v>
      </c>
      <c r="G34" t="s">
        <v>38</v>
      </c>
      <c r="H34" s="3">
        <v>68541</v>
      </c>
      <c r="I34" s="3">
        <v>60075</v>
      </c>
      <c r="J34" s="3">
        <v>49180</v>
      </c>
      <c r="K34" s="3">
        <v>2080</v>
      </c>
      <c r="L34" s="3">
        <v>304</v>
      </c>
      <c r="M34" s="3">
        <v>303</v>
      </c>
      <c r="N34" s="3">
        <v>429</v>
      </c>
      <c r="O34" s="3">
        <v>599</v>
      </c>
      <c r="P34" s="3">
        <v>38602</v>
      </c>
      <c r="Q34" s="3">
        <v>3116</v>
      </c>
      <c r="R34" s="4">
        <v>6.34</v>
      </c>
      <c r="S34" s="6">
        <f>GlowNestSocialTable3[[#This Row],[Link Clicks]]/GlowNestSocialTable3[[#This Row],[Reach]]</f>
        <v>1.2179747864985766E-2</v>
      </c>
    </row>
    <row r="35" spans="1:19">
      <c r="A35" t="s">
        <v>66</v>
      </c>
      <c r="B35" s="2">
        <v>45675</v>
      </c>
      <c r="C35" t="s">
        <v>36</v>
      </c>
      <c r="D35" t="s">
        <v>67</v>
      </c>
      <c r="E35" t="s">
        <v>46</v>
      </c>
      <c r="F35" t="s">
        <v>28</v>
      </c>
      <c r="G35" t="s">
        <v>23</v>
      </c>
      <c r="H35" s="3">
        <v>79776</v>
      </c>
      <c r="I35" s="3">
        <v>26575</v>
      </c>
      <c r="J35" s="3">
        <v>22242</v>
      </c>
      <c r="K35" s="3">
        <v>308</v>
      </c>
      <c r="L35" s="3">
        <v>46</v>
      </c>
      <c r="M35" s="3">
        <v>52</v>
      </c>
      <c r="N35" s="3">
        <v>30</v>
      </c>
      <c r="O35" s="3">
        <v>108</v>
      </c>
      <c r="P35" s="3"/>
      <c r="Q35" s="3">
        <v>436</v>
      </c>
      <c r="R35" s="4">
        <v>1.96</v>
      </c>
      <c r="S35" s="6">
        <f>GlowNestSocialTable3[[#This Row],[Link Clicks]]/GlowNestSocialTable3[[#This Row],[Reach]]</f>
        <v>4.8556784461828975E-3</v>
      </c>
    </row>
    <row r="36" spans="1:19">
      <c r="A36" t="s">
        <v>68</v>
      </c>
      <c r="B36" s="2">
        <v>45676</v>
      </c>
      <c r="C36" t="s">
        <v>19</v>
      </c>
      <c r="D36" t="s">
        <v>30</v>
      </c>
      <c r="E36" t="s">
        <v>27</v>
      </c>
      <c r="F36" t="s">
        <v>42</v>
      </c>
      <c r="G36" t="s">
        <v>23</v>
      </c>
      <c r="H36" s="3">
        <v>69382</v>
      </c>
      <c r="I36" s="3">
        <v>23039</v>
      </c>
      <c r="J36" s="3">
        <v>20646</v>
      </c>
      <c r="K36" s="3">
        <v>954</v>
      </c>
      <c r="L36" s="3">
        <v>162</v>
      </c>
      <c r="M36" s="3">
        <v>81</v>
      </c>
      <c r="N36" s="3">
        <v>160</v>
      </c>
      <c r="O36" s="3">
        <v>188</v>
      </c>
      <c r="P36" s="3"/>
      <c r="Q36" s="3">
        <v>1357</v>
      </c>
      <c r="R36" s="4">
        <v>6.57</v>
      </c>
      <c r="S36" s="6">
        <f>GlowNestSocialTable3[[#This Row],[Link Clicks]]/GlowNestSocialTable3[[#This Row],[Reach]]</f>
        <v>9.1058800736220098E-3</v>
      </c>
    </row>
    <row r="37" spans="1:19">
      <c r="A37" t="s">
        <v>69</v>
      </c>
      <c r="B37" s="2">
        <v>45676</v>
      </c>
      <c r="C37" t="s">
        <v>36</v>
      </c>
      <c r="D37" t="s">
        <v>37</v>
      </c>
      <c r="E37" t="s">
        <v>27</v>
      </c>
      <c r="F37" t="s">
        <v>31</v>
      </c>
      <c r="G37" t="s">
        <v>23</v>
      </c>
      <c r="H37" s="3">
        <v>81946</v>
      </c>
      <c r="I37" s="3">
        <v>51830</v>
      </c>
      <c r="J37" s="3">
        <v>36181</v>
      </c>
      <c r="K37" s="3">
        <v>924</v>
      </c>
      <c r="L37" s="3">
        <v>152</v>
      </c>
      <c r="M37" s="3">
        <v>121</v>
      </c>
      <c r="N37" s="3">
        <v>172</v>
      </c>
      <c r="O37" s="3">
        <v>170</v>
      </c>
      <c r="P37" s="3"/>
      <c r="Q37" s="3">
        <v>1369</v>
      </c>
      <c r="R37" s="4">
        <v>3.78</v>
      </c>
      <c r="S37" s="6">
        <f>GlowNestSocialTable3[[#This Row],[Link Clicks]]/GlowNestSocialTable3[[#This Row],[Reach]]</f>
        <v>4.6985987120311762E-3</v>
      </c>
    </row>
    <row r="38" spans="1:19">
      <c r="A38" t="s">
        <v>70</v>
      </c>
      <c r="B38" s="2">
        <v>45677</v>
      </c>
      <c r="C38" t="s">
        <v>36</v>
      </c>
      <c r="D38" t="s">
        <v>30</v>
      </c>
      <c r="E38" t="s">
        <v>46</v>
      </c>
      <c r="F38" t="s">
        <v>44</v>
      </c>
      <c r="G38" t="s">
        <v>23</v>
      </c>
      <c r="H38" s="3">
        <v>81812</v>
      </c>
      <c r="I38" s="3">
        <v>28004</v>
      </c>
      <c r="J38" s="3">
        <v>24107</v>
      </c>
      <c r="K38" s="3">
        <v>261</v>
      </c>
      <c r="L38" s="3">
        <v>30</v>
      </c>
      <c r="M38" s="3">
        <v>40</v>
      </c>
      <c r="N38" s="3">
        <v>36</v>
      </c>
      <c r="O38" s="3">
        <v>108</v>
      </c>
      <c r="P38" s="3"/>
      <c r="Q38" s="3">
        <v>367</v>
      </c>
      <c r="R38" s="4">
        <v>1.52</v>
      </c>
      <c r="S38" s="6">
        <f>GlowNestSocialTable3[[#This Row],[Link Clicks]]/GlowNestSocialTable3[[#This Row],[Reach]]</f>
        <v>4.4800265483054711E-3</v>
      </c>
    </row>
    <row r="39" spans="1:19">
      <c r="A39" t="s">
        <v>71</v>
      </c>
      <c r="B39" s="2">
        <v>45678</v>
      </c>
      <c r="C39" t="s">
        <v>19</v>
      </c>
      <c r="D39" t="s">
        <v>20</v>
      </c>
      <c r="E39" t="s">
        <v>21</v>
      </c>
      <c r="F39" t="s">
        <v>28</v>
      </c>
      <c r="G39" t="s">
        <v>23</v>
      </c>
      <c r="H39" s="3">
        <v>67271</v>
      </c>
      <c r="I39" s="3">
        <v>42269</v>
      </c>
      <c r="J39" s="3">
        <v>33671</v>
      </c>
      <c r="K39" s="3">
        <v>1555</v>
      </c>
      <c r="L39" s="3">
        <v>200</v>
      </c>
      <c r="M39" s="3">
        <v>137</v>
      </c>
      <c r="N39" s="3">
        <v>416</v>
      </c>
      <c r="O39" s="3">
        <v>367</v>
      </c>
      <c r="P39" s="3">
        <v>26599</v>
      </c>
      <c r="Q39" s="3">
        <v>2308</v>
      </c>
      <c r="R39" s="4">
        <v>6.85</v>
      </c>
      <c r="S39" s="6">
        <f>GlowNestSocialTable3[[#This Row],[Link Clicks]]/GlowNestSocialTable3[[#This Row],[Reach]]</f>
        <v>1.0899587181847881E-2</v>
      </c>
    </row>
    <row r="40" spans="1:19">
      <c r="A40" t="s">
        <v>72</v>
      </c>
      <c r="B40" s="2">
        <v>45678</v>
      </c>
      <c r="C40" t="s">
        <v>36</v>
      </c>
      <c r="D40" t="s">
        <v>37</v>
      </c>
      <c r="E40" t="s">
        <v>21</v>
      </c>
      <c r="F40" t="s">
        <v>28</v>
      </c>
      <c r="G40" t="s">
        <v>38</v>
      </c>
      <c r="H40" s="3">
        <v>83004</v>
      </c>
      <c r="I40" s="3">
        <v>74716</v>
      </c>
      <c r="J40" s="3">
        <v>66443</v>
      </c>
      <c r="K40" s="3">
        <v>1324</v>
      </c>
      <c r="L40" s="3">
        <v>194</v>
      </c>
      <c r="M40" s="3">
        <v>193</v>
      </c>
      <c r="N40" s="3">
        <v>186</v>
      </c>
      <c r="O40" s="3">
        <v>393</v>
      </c>
      <c r="P40" s="3"/>
      <c r="Q40" s="3">
        <v>1897</v>
      </c>
      <c r="R40" s="4">
        <v>2.86</v>
      </c>
      <c r="S40" s="6">
        <f>GlowNestSocialTable3[[#This Row],[Link Clicks]]/GlowNestSocialTable3[[#This Row],[Reach]]</f>
        <v>5.914844302635342E-3</v>
      </c>
    </row>
    <row r="41" spans="1:19">
      <c r="A41" t="s">
        <v>73</v>
      </c>
      <c r="B41" s="2">
        <v>45679</v>
      </c>
      <c r="C41" t="s">
        <v>19</v>
      </c>
      <c r="D41" t="s">
        <v>30</v>
      </c>
      <c r="E41" t="s">
        <v>21</v>
      </c>
      <c r="F41" t="s">
        <v>42</v>
      </c>
      <c r="G41" t="s">
        <v>23</v>
      </c>
      <c r="H41" s="3">
        <v>68114</v>
      </c>
      <c r="I41" s="3">
        <v>29880</v>
      </c>
      <c r="J41" s="3">
        <v>19516</v>
      </c>
      <c r="K41" s="3">
        <v>539</v>
      </c>
      <c r="L41" s="3">
        <v>98</v>
      </c>
      <c r="M41" s="3">
        <v>65</v>
      </c>
      <c r="N41" s="3">
        <v>72</v>
      </c>
      <c r="O41" s="3">
        <v>225</v>
      </c>
      <c r="P41" s="3"/>
      <c r="Q41" s="3">
        <v>774</v>
      </c>
      <c r="R41" s="4">
        <v>3.97</v>
      </c>
      <c r="S41" s="6">
        <f>GlowNestSocialTable3[[#This Row],[Link Clicks]]/GlowNestSocialTable3[[#This Row],[Reach]]</f>
        <v>1.1529001844640296E-2</v>
      </c>
    </row>
    <row r="42" spans="1:19">
      <c r="A42" t="s">
        <v>74</v>
      </c>
      <c r="B42" s="2">
        <v>45679</v>
      </c>
      <c r="C42" t="s">
        <v>36</v>
      </c>
      <c r="D42" t="s">
        <v>30</v>
      </c>
      <c r="E42" t="s">
        <v>46</v>
      </c>
      <c r="F42" t="s">
        <v>22</v>
      </c>
      <c r="G42" t="s">
        <v>23</v>
      </c>
      <c r="H42" s="3">
        <v>82887</v>
      </c>
      <c r="I42" s="3">
        <v>37210</v>
      </c>
      <c r="J42" s="3">
        <v>24888</v>
      </c>
      <c r="K42" s="3">
        <v>355</v>
      </c>
      <c r="L42" s="3">
        <v>44</v>
      </c>
      <c r="M42" s="3">
        <v>55</v>
      </c>
      <c r="N42" s="3">
        <v>31</v>
      </c>
      <c r="O42" s="3">
        <v>132</v>
      </c>
      <c r="P42" s="3"/>
      <c r="Q42" s="3">
        <v>485</v>
      </c>
      <c r="R42" s="4">
        <v>1.95</v>
      </c>
      <c r="S42" s="6">
        <f>GlowNestSocialTable3[[#This Row],[Link Clicks]]/GlowNestSocialTable3[[#This Row],[Reach]]</f>
        <v>5.303760848601736E-3</v>
      </c>
    </row>
    <row r="43" spans="1:19">
      <c r="A43" t="s">
        <v>75</v>
      </c>
      <c r="B43" s="2">
        <v>45680</v>
      </c>
      <c r="C43" t="s">
        <v>36</v>
      </c>
      <c r="D43" t="s">
        <v>37</v>
      </c>
      <c r="E43" t="s">
        <v>21</v>
      </c>
      <c r="F43" t="s">
        <v>44</v>
      </c>
      <c r="G43" t="s">
        <v>23</v>
      </c>
      <c r="H43" s="3">
        <v>82066</v>
      </c>
      <c r="I43" s="3">
        <v>61332</v>
      </c>
      <c r="J43" s="3">
        <v>43356</v>
      </c>
      <c r="K43" s="3">
        <v>857</v>
      </c>
      <c r="L43" s="3">
        <v>103</v>
      </c>
      <c r="M43" s="3">
        <v>122</v>
      </c>
      <c r="N43" s="3">
        <v>225</v>
      </c>
      <c r="O43" s="3">
        <v>162</v>
      </c>
      <c r="P43" s="3"/>
      <c r="Q43" s="3">
        <v>1307</v>
      </c>
      <c r="R43" s="4">
        <v>3.01</v>
      </c>
      <c r="S43" s="6">
        <f>GlowNestSocialTable3[[#This Row],[Link Clicks]]/GlowNestSocialTable3[[#This Row],[Reach]]</f>
        <v>3.736507057846665E-3</v>
      </c>
    </row>
    <row r="44" spans="1:19">
      <c r="A44" t="s">
        <v>76</v>
      </c>
      <c r="B44" s="2">
        <v>45681</v>
      </c>
      <c r="C44" t="s">
        <v>33</v>
      </c>
      <c r="D44" t="s">
        <v>37</v>
      </c>
      <c r="E44" t="s">
        <v>25</v>
      </c>
      <c r="F44" t="s">
        <v>42</v>
      </c>
      <c r="G44" t="s">
        <v>38</v>
      </c>
      <c r="H44" s="3">
        <v>30843</v>
      </c>
      <c r="I44" s="3">
        <v>18163</v>
      </c>
      <c r="J44" s="3">
        <v>12428</v>
      </c>
      <c r="K44" s="3">
        <v>286</v>
      </c>
      <c r="L44" s="3">
        <v>45</v>
      </c>
      <c r="M44" s="3">
        <v>31</v>
      </c>
      <c r="N44" s="3">
        <v>32</v>
      </c>
      <c r="O44" s="3">
        <v>107</v>
      </c>
      <c r="P44" s="3"/>
      <c r="Q44" s="3">
        <v>394</v>
      </c>
      <c r="R44" s="4">
        <v>3.17</v>
      </c>
      <c r="S44" s="6">
        <f>GlowNestSocialTable3[[#This Row],[Link Clicks]]/GlowNestSocialTable3[[#This Row],[Reach]]</f>
        <v>8.6095912455745084E-3</v>
      </c>
    </row>
    <row r="45" spans="1:19">
      <c r="A45" t="s">
        <v>77</v>
      </c>
      <c r="B45" s="2">
        <v>45681</v>
      </c>
      <c r="C45" t="s">
        <v>33</v>
      </c>
      <c r="D45" t="s">
        <v>30</v>
      </c>
      <c r="E45" t="s">
        <v>49</v>
      </c>
      <c r="F45" t="s">
        <v>31</v>
      </c>
      <c r="G45" t="s">
        <v>23</v>
      </c>
      <c r="H45" s="3">
        <v>35188</v>
      </c>
      <c r="I45" s="3">
        <v>12992</v>
      </c>
      <c r="J45" s="3">
        <v>9506</v>
      </c>
      <c r="K45" s="3">
        <v>289</v>
      </c>
      <c r="L45" s="3">
        <v>42</v>
      </c>
      <c r="M45" s="3">
        <v>43</v>
      </c>
      <c r="N45" s="3">
        <v>16</v>
      </c>
      <c r="O45" s="3">
        <v>86</v>
      </c>
      <c r="P45" s="3"/>
      <c r="Q45" s="3">
        <v>390</v>
      </c>
      <c r="R45" s="4">
        <v>4.0999999999999996</v>
      </c>
      <c r="S45" s="6">
        <f>GlowNestSocialTable3[[#This Row],[Link Clicks]]/GlowNestSocialTable3[[#This Row],[Reach]]</f>
        <v>9.0469177361666309E-3</v>
      </c>
    </row>
    <row r="46" spans="1:19">
      <c r="A46" t="s">
        <v>78</v>
      </c>
      <c r="B46" s="2">
        <v>45682</v>
      </c>
      <c r="C46" t="s">
        <v>19</v>
      </c>
      <c r="D46" t="s">
        <v>20</v>
      </c>
      <c r="E46" t="s">
        <v>25</v>
      </c>
      <c r="F46" t="s">
        <v>42</v>
      </c>
      <c r="G46" t="s">
        <v>23</v>
      </c>
      <c r="H46" s="3">
        <v>69631</v>
      </c>
      <c r="I46" s="3">
        <v>43862</v>
      </c>
      <c r="J46" s="3">
        <v>28688</v>
      </c>
      <c r="K46" s="3">
        <v>998</v>
      </c>
      <c r="L46" s="3">
        <v>137</v>
      </c>
      <c r="M46" s="3">
        <v>138</v>
      </c>
      <c r="N46" s="3">
        <v>205</v>
      </c>
      <c r="O46" s="3">
        <v>291</v>
      </c>
      <c r="P46" s="3">
        <v>24834</v>
      </c>
      <c r="Q46" s="3">
        <v>1478</v>
      </c>
      <c r="R46" s="4">
        <v>5.15</v>
      </c>
      <c r="S46" s="6">
        <f>GlowNestSocialTable3[[#This Row],[Link Clicks]]/GlowNestSocialTable3[[#This Row],[Reach]]</f>
        <v>1.0143614054657E-2</v>
      </c>
    </row>
    <row r="47" spans="1:19">
      <c r="A47" t="s">
        <v>79</v>
      </c>
      <c r="B47" s="2">
        <v>45682</v>
      </c>
      <c r="C47" t="s">
        <v>19</v>
      </c>
      <c r="D47" t="s">
        <v>37</v>
      </c>
      <c r="E47" t="s">
        <v>49</v>
      </c>
      <c r="F47" t="s">
        <v>42</v>
      </c>
      <c r="G47" t="s">
        <v>23</v>
      </c>
      <c r="H47" s="3">
        <v>67045</v>
      </c>
      <c r="I47" s="3">
        <v>19573</v>
      </c>
      <c r="J47" s="3">
        <v>17291</v>
      </c>
      <c r="K47" s="3">
        <v>633</v>
      </c>
      <c r="L47" s="3">
        <v>111</v>
      </c>
      <c r="M47" s="3">
        <v>61</v>
      </c>
      <c r="N47" s="3">
        <v>185</v>
      </c>
      <c r="O47" s="3">
        <v>162</v>
      </c>
      <c r="P47" s="3"/>
      <c r="Q47" s="3">
        <v>990</v>
      </c>
      <c r="R47" s="4">
        <v>5.73</v>
      </c>
      <c r="S47" s="6">
        <f>GlowNestSocialTable3[[#This Row],[Link Clicks]]/GlowNestSocialTable3[[#This Row],[Reach]]</f>
        <v>9.3690359146376724E-3</v>
      </c>
    </row>
    <row r="48" spans="1:19">
      <c r="A48" t="s">
        <v>80</v>
      </c>
      <c r="B48" s="2">
        <v>45683</v>
      </c>
      <c r="C48" t="s">
        <v>33</v>
      </c>
      <c r="D48" t="s">
        <v>30</v>
      </c>
      <c r="E48" t="s">
        <v>46</v>
      </c>
      <c r="F48" t="s">
        <v>22</v>
      </c>
      <c r="G48" t="s">
        <v>23</v>
      </c>
      <c r="H48" s="3">
        <v>31836</v>
      </c>
      <c r="I48" s="3">
        <v>12125</v>
      </c>
      <c r="J48" s="3">
        <v>8041</v>
      </c>
      <c r="K48" s="3">
        <v>170</v>
      </c>
      <c r="L48" s="3">
        <v>22</v>
      </c>
      <c r="M48" s="3">
        <v>18</v>
      </c>
      <c r="N48" s="3">
        <v>42</v>
      </c>
      <c r="O48" s="3">
        <v>106</v>
      </c>
      <c r="P48" s="3"/>
      <c r="Q48" s="3">
        <v>252</v>
      </c>
      <c r="R48" s="4">
        <v>3.13</v>
      </c>
      <c r="S48" s="6">
        <f>GlowNestSocialTable3[[#This Row],[Link Clicks]]/GlowNestSocialTable3[[#This Row],[Reach]]</f>
        <v>1.3182439995025495E-2</v>
      </c>
    </row>
    <row r="49" spans="1:19">
      <c r="A49" t="s">
        <v>81</v>
      </c>
      <c r="B49" s="2">
        <v>45684</v>
      </c>
      <c r="C49" t="s">
        <v>19</v>
      </c>
      <c r="D49" t="s">
        <v>37</v>
      </c>
      <c r="E49" t="s">
        <v>46</v>
      </c>
      <c r="F49" t="s">
        <v>42</v>
      </c>
      <c r="G49" t="s">
        <v>23</v>
      </c>
      <c r="H49" s="3">
        <v>67128</v>
      </c>
      <c r="I49" s="3">
        <v>21474</v>
      </c>
      <c r="J49" s="3">
        <v>17412</v>
      </c>
      <c r="K49" s="3">
        <v>587</v>
      </c>
      <c r="L49" s="3">
        <v>102</v>
      </c>
      <c r="M49" s="3">
        <v>58</v>
      </c>
      <c r="N49" s="3">
        <v>84</v>
      </c>
      <c r="O49" s="3">
        <v>258</v>
      </c>
      <c r="P49" s="3"/>
      <c r="Q49" s="3">
        <v>831</v>
      </c>
      <c r="R49" s="4">
        <v>4.7699999999999996</v>
      </c>
      <c r="S49" s="6">
        <f>GlowNestSocialTable3[[#This Row],[Link Clicks]]/GlowNestSocialTable3[[#This Row],[Reach]]</f>
        <v>1.4817367332873881E-2</v>
      </c>
    </row>
    <row r="50" spans="1:19">
      <c r="A50" t="s">
        <v>82</v>
      </c>
      <c r="B50" s="2">
        <v>45684</v>
      </c>
      <c r="C50" t="s">
        <v>19</v>
      </c>
      <c r="D50" t="s">
        <v>30</v>
      </c>
      <c r="E50" t="s">
        <v>21</v>
      </c>
      <c r="F50" t="s">
        <v>42</v>
      </c>
      <c r="G50" t="s">
        <v>23</v>
      </c>
      <c r="H50" s="3">
        <v>70028</v>
      </c>
      <c r="I50" s="3">
        <v>32112</v>
      </c>
      <c r="J50" s="3">
        <v>20859</v>
      </c>
      <c r="K50" s="3">
        <v>630</v>
      </c>
      <c r="L50" s="3">
        <v>65</v>
      </c>
      <c r="M50" s="3">
        <v>77</v>
      </c>
      <c r="N50" s="3">
        <v>64</v>
      </c>
      <c r="O50" s="3">
        <v>146</v>
      </c>
      <c r="P50" s="3"/>
      <c r="Q50" s="3">
        <v>836</v>
      </c>
      <c r="R50" s="4">
        <v>4.01</v>
      </c>
      <c r="S50" s="6">
        <f>GlowNestSocialTable3[[#This Row],[Link Clicks]]/GlowNestSocialTable3[[#This Row],[Reach]]</f>
        <v>6.9993767678220437E-3</v>
      </c>
    </row>
    <row r="51" spans="1:19">
      <c r="A51" t="s">
        <v>83</v>
      </c>
      <c r="B51" s="2">
        <v>45685</v>
      </c>
      <c r="C51" t="s">
        <v>36</v>
      </c>
      <c r="D51" t="s">
        <v>30</v>
      </c>
      <c r="E51" t="s">
        <v>46</v>
      </c>
      <c r="F51" t="s">
        <v>31</v>
      </c>
      <c r="G51" t="s">
        <v>23</v>
      </c>
      <c r="H51" s="3">
        <v>82473</v>
      </c>
      <c r="I51" s="3">
        <v>32438</v>
      </c>
      <c r="J51" s="3">
        <v>22603</v>
      </c>
      <c r="K51" s="3">
        <v>339</v>
      </c>
      <c r="L51" s="3">
        <v>53</v>
      </c>
      <c r="M51" s="3">
        <v>45</v>
      </c>
      <c r="N51" s="3">
        <v>32</v>
      </c>
      <c r="O51" s="3">
        <v>110</v>
      </c>
      <c r="P51" s="3"/>
      <c r="Q51" s="3">
        <v>469</v>
      </c>
      <c r="R51" s="4">
        <v>2.0699999999999998</v>
      </c>
      <c r="S51" s="6">
        <f>GlowNestSocialTable3[[#This Row],[Link Clicks]]/GlowNestSocialTable3[[#This Row],[Reach]]</f>
        <v>4.8666106269079322E-3</v>
      </c>
    </row>
    <row r="52" spans="1:19">
      <c r="A52" t="s">
        <v>84</v>
      </c>
      <c r="B52" s="2">
        <v>45685</v>
      </c>
      <c r="C52" t="s">
        <v>19</v>
      </c>
      <c r="D52" t="s">
        <v>34</v>
      </c>
      <c r="E52" t="s">
        <v>21</v>
      </c>
      <c r="F52" t="s">
        <v>31</v>
      </c>
      <c r="G52" t="s">
        <v>23</v>
      </c>
      <c r="H52" s="3">
        <v>67966</v>
      </c>
      <c r="I52" s="3">
        <v>26393</v>
      </c>
      <c r="J52" s="3">
        <v>22243</v>
      </c>
      <c r="K52" s="3">
        <v>821</v>
      </c>
      <c r="L52" s="3">
        <v>123</v>
      </c>
      <c r="M52" s="3">
        <v>103</v>
      </c>
      <c r="N52" s="3">
        <v>74</v>
      </c>
      <c r="O52" s="3">
        <v>224</v>
      </c>
      <c r="P52" s="3"/>
      <c r="Q52" s="3">
        <v>1121</v>
      </c>
      <c r="R52" s="4">
        <v>5.04</v>
      </c>
      <c r="S52" s="6">
        <f>GlowNestSocialTable3[[#This Row],[Link Clicks]]/GlowNestSocialTable3[[#This Row],[Reach]]</f>
        <v>1.0070584003956301E-2</v>
      </c>
    </row>
    <row r="53" spans="1:19">
      <c r="A53" t="s">
        <v>85</v>
      </c>
      <c r="B53" s="2">
        <v>45686</v>
      </c>
      <c r="C53" t="s">
        <v>19</v>
      </c>
      <c r="D53" t="s">
        <v>37</v>
      </c>
      <c r="E53" t="s">
        <v>25</v>
      </c>
      <c r="F53" t="s">
        <v>28</v>
      </c>
      <c r="G53" t="s">
        <v>38</v>
      </c>
      <c r="H53" s="3">
        <v>69045</v>
      </c>
      <c r="I53" s="3">
        <v>53535</v>
      </c>
      <c r="J53" s="3">
        <v>38366</v>
      </c>
      <c r="K53" s="3">
        <v>1110</v>
      </c>
      <c r="L53" s="3">
        <v>163</v>
      </c>
      <c r="M53" s="3">
        <v>154</v>
      </c>
      <c r="N53" s="3">
        <v>200</v>
      </c>
      <c r="O53" s="3">
        <v>297</v>
      </c>
      <c r="P53" s="3"/>
      <c r="Q53" s="3">
        <v>1627</v>
      </c>
      <c r="R53" s="4">
        <v>4.24</v>
      </c>
      <c r="S53" s="6">
        <f>GlowNestSocialTable3[[#This Row],[Link Clicks]]/GlowNestSocialTable3[[#This Row],[Reach]]</f>
        <v>7.7412292133660007E-3</v>
      </c>
    </row>
    <row r="54" spans="1:19">
      <c r="A54" t="s">
        <v>86</v>
      </c>
      <c r="B54" s="2">
        <v>45687</v>
      </c>
      <c r="C54" t="s">
        <v>36</v>
      </c>
      <c r="D54" t="s">
        <v>20</v>
      </c>
      <c r="E54" t="s">
        <v>25</v>
      </c>
      <c r="F54" t="s">
        <v>31</v>
      </c>
      <c r="G54" t="s">
        <v>23</v>
      </c>
      <c r="H54" s="3">
        <v>83394</v>
      </c>
      <c r="I54" s="3">
        <v>59023</v>
      </c>
      <c r="J54" s="3">
        <v>42749</v>
      </c>
      <c r="K54" s="3">
        <v>624</v>
      </c>
      <c r="L54" s="3">
        <v>79</v>
      </c>
      <c r="M54" s="3">
        <v>104</v>
      </c>
      <c r="N54" s="3">
        <v>67</v>
      </c>
      <c r="O54" s="3">
        <v>193</v>
      </c>
      <c r="P54" s="3">
        <v>28985</v>
      </c>
      <c r="Q54" s="3">
        <v>874</v>
      </c>
      <c r="R54" s="4">
        <v>2.04</v>
      </c>
      <c r="S54" s="6">
        <f>GlowNestSocialTable3[[#This Row],[Link Clicks]]/GlowNestSocialTable3[[#This Row],[Reach]]</f>
        <v>4.5147254906547519E-3</v>
      </c>
    </row>
    <row r="55" spans="1:19">
      <c r="A55" t="s">
        <v>87</v>
      </c>
      <c r="B55" s="2">
        <v>45687</v>
      </c>
      <c r="C55" t="s">
        <v>33</v>
      </c>
      <c r="D55" t="s">
        <v>34</v>
      </c>
      <c r="E55" t="s">
        <v>25</v>
      </c>
      <c r="F55" t="s">
        <v>44</v>
      </c>
      <c r="G55" t="s">
        <v>38</v>
      </c>
      <c r="H55" s="3">
        <v>32129</v>
      </c>
      <c r="I55" s="3">
        <v>15707</v>
      </c>
      <c r="J55" s="3">
        <v>11274</v>
      </c>
      <c r="K55" s="3">
        <v>138</v>
      </c>
      <c r="L55" s="3">
        <v>19</v>
      </c>
      <c r="M55" s="3">
        <v>22</v>
      </c>
      <c r="N55" s="3">
        <v>8</v>
      </c>
      <c r="O55" s="3">
        <v>107</v>
      </c>
      <c r="P55" s="3"/>
      <c r="Q55" s="3">
        <v>187</v>
      </c>
      <c r="R55" s="4">
        <v>1.66</v>
      </c>
      <c r="S55" s="6">
        <f>GlowNestSocialTable3[[#This Row],[Link Clicks]]/GlowNestSocialTable3[[#This Row],[Reach]]</f>
        <v>9.4908639347170472E-3</v>
      </c>
    </row>
    <row r="56" spans="1:19">
      <c r="A56" t="s">
        <v>88</v>
      </c>
      <c r="B56" s="2">
        <v>45688</v>
      </c>
      <c r="C56" t="s">
        <v>19</v>
      </c>
      <c r="D56" t="s">
        <v>30</v>
      </c>
      <c r="E56" t="s">
        <v>21</v>
      </c>
      <c r="F56" t="s">
        <v>28</v>
      </c>
      <c r="G56" t="s">
        <v>23</v>
      </c>
      <c r="H56" s="3">
        <v>67646</v>
      </c>
      <c r="I56" s="3">
        <v>23044</v>
      </c>
      <c r="J56" s="3">
        <v>17255</v>
      </c>
      <c r="K56" s="3">
        <v>722</v>
      </c>
      <c r="L56" s="3">
        <v>72</v>
      </c>
      <c r="M56" s="3">
        <v>65</v>
      </c>
      <c r="N56" s="3">
        <v>115</v>
      </c>
      <c r="O56" s="3">
        <v>163</v>
      </c>
      <c r="P56" s="3"/>
      <c r="Q56" s="3">
        <v>974</v>
      </c>
      <c r="R56" s="4">
        <v>5.64</v>
      </c>
      <c r="S56" s="6">
        <f>GlowNestSocialTable3[[#This Row],[Link Clicks]]/GlowNestSocialTable3[[#This Row],[Reach]]</f>
        <v>9.4465372355838888E-3</v>
      </c>
    </row>
    <row r="57" spans="1:19">
      <c r="A57" t="s">
        <v>89</v>
      </c>
      <c r="B57" s="2">
        <v>45688</v>
      </c>
      <c r="C57" t="s">
        <v>36</v>
      </c>
      <c r="D57" t="s">
        <v>30</v>
      </c>
      <c r="E57" t="s">
        <v>27</v>
      </c>
      <c r="F57" t="s">
        <v>42</v>
      </c>
      <c r="G57" t="s">
        <v>23</v>
      </c>
      <c r="H57" s="3">
        <v>85680</v>
      </c>
      <c r="I57" s="3">
        <v>45306</v>
      </c>
      <c r="J57" s="3">
        <v>35137</v>
      </c>
      <c r="K57" s="3">
        <v>682</v>
      </c>
      <c r="L57" s="3">
        <v>87</v>
      </c>
      <c r="M57" s="3">
        <v>103</v>
      </c>
      <c r="N57" s="3">
        <v>159</v>
      </c>
      <c r="O57" s="3">
        <v>139</v>
      </c>
      <c r="P57" s="3"/>
      <c r="Q57" s="3">
        <v>1031</v>
      </c>
      <c r="R57" s="4">
        <v>2.93</v>
      </c>
      <c r="S57" s="6">
        <f>GlowNestSocialTable3[[#This Row],[Link Clicks]]/GlowNestSocialTable3[[#This Row],[Reach]]</f>
        <v>3.9559438768249997E-3</v>
      </c>
    </row>
    <row r="58" spans="1:19">
      <c r="A58" t="s">
        <v>90</v>
      </c>
      <c r="B58" s="2">
        <v>45689</v>
      </c>
      <c r="C58" t="s">
        <v>33</v>
      </c>
      <c r="D58" t="s">
        <v>20</v>
      </c>
      <c r="E58" t="s">
        <v>27</v>
      </c>
      <c r="F58" t="s">
        <v>28</v>
      </c>
      <c r="G58" t="s">
        <v>23</v>
      </c>
      <c r="H58" s="3">
        <v>29403</v>
      </c>
      <c r="I58" s="3">
        <v>16448</v>
      </c>
      <c r="J58" s="3">
        <v>12793</v>
      </c>
      <c r="K58" s="3">
        <v>538</v>
      </c>
      <c r="L58" s="3">
        <v>76</v>
      </c>
      <c r="M58" s="3">
        <v>72</v>
      </c>
      <c r="N58" s="3">
        <v>285</v>
      </c>
      <c r="O58" s="3">
        <v>176</v>
      </c>
      <c r="P58" s="3">
        <v>10247</v>
      </c>
      <c r="Q58" s="3">
        <v>971</v>
      </c>
      <c r="R58" s="4">
        <v>7.59</v>
      </c>
      <c r="S58" s="6">
        <f>GlowNestSocialTable3[[#This Row],[Link Clicks]]/GlowNestSocialTable3[[#This Row],[Reach]]</f>
        <v>1.3757523645743766E-2</v>
      </c>
    </row>
    <row r="59" spans="1:19">
      <c r="A59" t="s">
        <v>91</v>
      </c>
      <c r="B59" s="2">
        <v>45690</v>
      </c>
      <c r="C59" t="s">
        <v>19</v>
      </c>
      <c r="D59" t="s">
        <v>20</v>
      </c>
      <c r="E59" t="s">
        <v>27</v>
      </c>
      <c r="F59" t="s">
        <v>42</v>
      </c>
      <c r="G59" t="s">
        <v>23</v>
      </c>
      <c r="H59" s="3">
        <v>71836</v>
      </c>
      <c r="I59" s="3">
        <v>56247</v>
      </c>
      <c r="J59" s="3">
        <v>39274</v>
      </c>
      <c r="K59" s="3">
        <v>1933</v>
      </c>
      <c r="L59" s="3">
        <v>301</v>
      </c>
      <c r="M59" s="3">
        <v>353</v>
      </c>
      <c r="N59" s="3">
        <v>767</v>
      </c>
      <c r="O59" s="3">
        <v>537</v>
      </c>
      <c r="P59" s="3">
        <v>27649</v>
      </c>
      <c r="Q59" s="3">
        <v>3354</v>
      </c>
      <c r="R59" s="4">
        <v>8.5399999999999991</v>
      </c>
      <c r="S59" s="6">
        <f>GlowNestSocialTable3[[#This Row],[Link Clicks]]/GlowNestSocialTable3[[#This Row],[Reach]]</f>
        <v>1.3673167999185212E-2</v>
      </c>
    </row>
    <row r="60" spans="1:19">
      <c r="A60" t="s">
        <v>92</v>
      </c>
      <c r="B60" s="2">
        <v>45690</v>
      </c>
      <c r="C60" t="s">
        <v>36</v>
      </c>
      <c r="D60" t="s">
        <v>30</v>
      </c>
      <c r="E60" t="s">
        <v>46</v>
      </c>
      <c r="F60" t="s">
        <v>42</v>
      </c>
      <c r="G60" t="s">
        <v>38</v>
      </c>
      <c r="H60" s="3">
        <v>81319</v>
      </c>
      <c r="I60" s="3">
        <v>68701</v>
      </c>
      <c r="J60" s="3">
        <v>50150</v>
      </c>
      <c r="K60" s="3">
        <v>687</v>
      </c>
      <c r="L60" s="3">
        <v>65</v>
      </c>
      <c r="M60" s="3">
        <v>67</v>
      </c>
      <c r="N60" s="3">
        <v>80</v>
      </c>
      <c r="O60" s="3">
        <v>236</v>
      </c>
      <c r="P60" s="3"/>
      <c r="Q60" s="3">
        <v>899</v>
      </c>
      <c r="R60" s="4">
        <v>1.79</v>
      </c>
      <c r="S60" s="6">
        <f>GlowNestSocialTable3[[#This Row],[Link Clicks]]/GlowNestSocialTable3[[#This Row],[Reach]]</f>
        <v>4.7058823529411761E-3</v>
      </c>
    </row>
    <row r="61" spans="1:19">
      <c r="A61" t="s">
        <v>93</v>
      </c>
      <c r="B61" s="2">
        <v>45691</v>
      </c>
      <c r="C61" t="s">
        <v>33</v>
      </c>
      <c r="D61" t="s">
        <v>34</v>
      </c>
      <c r="E61" t="s">
        <v>27</v>
      </c>
      <c r="F61" t="s">
        <v>22</v>
      </c>
      <c r="G61" t="s">
        <v>23</v>
      </c>
      <c r="H61" s="3">
        <v>31855</v>
      </c>
      <c r="I61" s="3">
        <v>12531</v>
      </c>
      <c r="J61" s="3">
        <v>8556</v>
      </c>
      <c r="K61" s="3">
        <v>257</v>
      </c>
      <c r="L61" s="3">
        <v>29</v>
      </c>
      <c r="M61" s="3">
        <v>36</v>
      </c>
      <c r="N61" s="3">
        <v>20</v>
      </c>
      <c r="O61" s="3">
        <v>181</v>
      </c>
      <c r="P61" s="3"/>
      <c r="Q61" s="3">
        <v>342</v>
      </c>
      <c r="R61" s="4">
        <v>4</v>
      </c>
      <c r="S61" s="6">
        <f>GlowNestSocialTable3[[#This Row],[Link Clicks]]/GlowNestSocialTable3[[#This Row],[Reach]]</f>
        <v>2.1154745208041142E-2</v>
      </c>
    </row>
    <row r="62" spans="1:19">
      <c r="A62" t="s">
        <v>94</v>
      </c>
      <c r="B62" s="2">
        <v>45692</v>
      </c>
      <c r="C62" t="s">
        <v>33</v>
      </c>
      <c r="D62" t="s">
        <v>34</v>
      </c>
      <c r="E62" t="s">
        <v>25</v>
      </c>
      <c r="F62" t="s">
        <v>31</v>
      </c>
      <c r="G62" t="s">
        <v>23</v>
      </c>
      <c r="H62" s="3">
        <v>32238</v>
      </c>
      <c r="I62" s="3">
        <v>12813</v>
      </c>
      <c r="J62" s="3">
        <v>8270</v>
      </c>
      <c r="K62" s="3">
        <v>106</v>
      </c>
      <c r="L62" s="3">
        <v>12</v>
      </c>
      <c r="M62" s="3">
        <v>15</v>
      </c>
      <c r="N62" s="3">
        <v>7</v>
      </c>
      <c r="O62" s="3">
        <v>85</v>
      </c>
      <c r="P62" s="3"/>
      <c r="Q62" s="3">
        <v>140</v>
      </c>
      <c r="R62" s="4">
        <v>1.69</v>
      </c>
      <c r="S62" s="6">
        <f>GlowNestSocialTable3[[#This Row],[Link Clicks]]/GlowNestSocialTable3[[#This Row],[Reach]]</f>
        <v>1.0278113663845224E-2</v>
      </c>
    </row>
    <row r="63" spans="1:19">
      <c r="A63" t="s">
        <v>95</v>
      </c>
      <c r="B63" s="2">
        <v>45692</v>
      </c>
      <c r="C63" t="s">
        <v>36</v>
      </c>
      <c r="D63" t="s">
        <v>20</v>
      </c>
      <c r="E63" t="s">
        <v>46</v>
      </c>
      <c r="F63" t="s">
        <v>44</v>
      </c>
      <c r="G63" t="s">
        <v>23</v>
      </c>
      <c r="H63" s="3">
        <v>85051</v>
      </c>
      <c r="I63" s="3">
        <v>51275</v>
      </c>
      <c r="J63" s="3">
        <v>46634</v>
      </c>
      <c r="K63" s="3">
        <v>1147</v>
      </c>
      <c r="L63" s="3">
        <v>125</v>
      </c>
      <c r="M63" s="3">
        <v>162</v>
      </c>
      <c r="N63" s="3">
        <v>210</v>
      </c>
      <c r="O63" s="3">
        <v>259</v>
      </c>
      <c r="P63" s="3">
        <v>38215</v>
      </c>
      <c r="Q63" s="3">
        <v>1644</v>
      </c>
      <c r="R63" s="4">
        <v>3.53</v>
      </c>
      <c r="S63" s="6">
        <f>GlowNestSocialTable3[[#This Row],[Link Clicks]]/GlowNestSocialTable3[[#This Row],[Reach]]</f>
        <v>5.5538877214049839E-3</v>
      </c>
    </row>
    <row r="64" spans="1:19">
      <c r="A64" t="s">
        <v>96</v>
      </c>
      <c r="B64" s="2">
        <v>45693</v>
      </c>
      <c r="C64" t="s">
        <v>19</v>
      </c>
      <c r="D64" t="s">
        <v>37</v>
      </c>
      <c r="E64" t="s">
        <v>49</v>
      </c>
      <c r="F64" t="s">
        <v>42</v>
      </c>
      <c r="G64" t="s">
        <v>23</v>
      </c>
      <c r="H64" s="3">
        <v>68612</v>
      </c>
      <c r="I64" s="3">
        <v>26817</v>
      </c>
      <c r="J64" s="3">
        <v>23942</v>
      </c>
      <c r="K64" s="3">
        <v>936</v>
      </c>
      <c r="L64" s="3">
        <v>137</v>
      </c>
      <c r="M64" s="3">
        <v>99</v>
      </c>
      <c r="N64" s="3">
        <v>89</v>
      </c>
      <c r="O64" s="3">
        <v>217</v>
      </c>
      <c r="P64" s="3"/>
      <c r="Q64" s="3">
        <v>1261</v>
      </c>
      <c r="R64" s="4">
        <v>5.27</v>
      </c>
      <c r="S64" s="6">
        <f>GlowNestSocialTable3[[#This Row],[Link Clicks]]/GlowNestSocialTable3[[#This Row],[Reach]]</f>
        <v>9.0635702948792911E-3</v>
      </c>
    </row>
    <row r="65" spans="1:19">
      <c r="A65" t="s">
        <v>97</v>
      </c>
      <c r="B65" s="2">
        <v>45693</v>
      </c>
      <c r="C65" t="s">
        <v>19</v>
      </c>
      <c r="D65" t="s">
        <v>20</v>
      </c>
      <c r="E65" t="s">
        <v>46</v>
      </c>
      <c r="F65" t="s">
        <v>28</v>
      </c>
      <c r="G65" t="s">
        <v>23</v>
      </c>
      <c r="H65" s="3">
        <v>69401</v>
      </c>
      <c r="I65" s="3">
        <v>38172</v>
      </c>
      <c r="J65" s="3">
        <v>25475</v>
      </c>
      <c r="K65" s="3">
        <v>1121</v>
      </c>
      <c r="L65" s="3">
        <v>136</v>
      </c>
      <c r="M65" s="3">
        <v>93</v>
      </c>
      <c r="N65" s="3">
        <v>217</v>
      </c>
      <c r="O65" s="3">
        <v>309</v>
      </c>
      <c r="P65" s="3">
        <v>20344</v>
      </c>
      <c r="Q65" s="3">
        <v>1567</v>
      </c>
      <c r="R65" s="4">
        <v>12.3</v>
      </c>
      <c r="S65" s="6">
        <f>GlowNestSocialTable3[[#This Row],[Link Clicks]]/GlowNestSocialTable3[[#This Row],[Reach]]</f>
        <v>1.2129538763493621E-2</v>
      </c>
    </row>
    <row r="66" spans="1:19">
      <c r="A66" t="s">
        <v>98</v>
      </c>
      <c r="B66" s="2">
        <v>45694</v>
      </c>
      <c r="C66" t="s">
        <v>33</v>
      </c>
      <c r="D66" t="s">
        <v>34</v>
      </c>
      <c r="E66" t="s">
        <v>27</v>
      </c>
      <c r="F66" t="s">
        <v>22</v>
      </c>
      <c r="G66" t="s">
        <v>23</v>
      </c>
      <c r="H66" s="3">
        <v>30589</v>
      </c>
      <c r="I66" s="3">
        <v>8532</v>
      </c>
      <c r="J66" s="3">
        <v>5564</v>
      </c>
      <c r="K66" s="3">
        <v>109</v>
      </c>
      <c r="L66" s="3">
        <v>21</v>
      </c>
      <c r="M66" s="3">
        <v>13</v>
      </c>
      <c r="N66" s="3">
        <v>24</v>
      </c>
      <c r="O66" s="3">
        <v>98</v>
      </c>
      <c r="P66" s="3"/>
      <c r="Q66" s="3">
        <v>167</v>
      </c>
      <c r="R66" s="4">
        <v>3</v>
      </c>
      <c r="S66" s="6">
        <f>GlowNestSocialTable3[[#This Row],[Link Clicks]]/GlowNestSocialTable3[[#This Row],[Reach]]</f>
        <v>1.7613227893601726E-2</v>
      </c>
    </row>
    <row r="67" spans="1:19">
      <c r="A67" t="s">
        <v>99</v>
      </c>
      <c r="B67" s="2">
        <v>45695</v>
      </c>
      <c r="C67" t="s">
        <v>36</v>
      </c>
      <c r="D67" t="s">
        <v>30</v>
      </c>
      <c r="E67" t="s">
        <v>25</v>
      </c>
      <c r="F67" t="s">
        <v>22</v>
      </c>
      <c r="G67" t="s">
        <v>38</v>
      </c>
      <c r="H67" s="3">
        <v>83727</v>
      </c>
      <c r="I67" s="3">
        <v>65331</v>
      </c>
      <c r="J67" s="3">
        <v>53762</v>
      </c>
      <c r="K67" s="3">
        <v>352</v>
      </c>
      <c r="L67" s="3">
        <v>40</v>
      </c>
      <c r="M67" s="3">
        <v>38</v>
      </c>
      <c r="N67" s="3">
        <v>56</v>
      </c>
      <c r="O67" s="3">
        <v>153</v>
      </c>
      <c r="P67" s="3"/>
      <c r="Q67" s="3">
        <v>486</v>
      </c>
      <c r="R67" s="4">
        <v>0.9</v>
      </c>
      <c r="S67" s="6">
        <f>GlowNestSocialTable3[[#This Row],[Link Clicks]]/GlowNestSocialTable3[[#This Row],[Reach]]</f>
        <v>2.8458762694840221E-3</v>
      </c>
    </row>
    <row r="68" spans="1:19">
      <c r="A68" t="s">
        <v>100</v>
      </c>
      <c r="B68" s="2">
        <v>45695</v>
      </c>
      <c r="C68" t="s">
        <v>36</v>
      </c>
      <c r="D68" t="s">
        <v>37</v>
      </c>
      <c r="E68" t="s">
        <v>49</v>
      </c>
      <c r="F68" t="s">
        <v>22</v>
      </c>
      <c r="G68" t="s">
        <v>23</v>
      </c>
      <c r="H68" s="3">
        <v>82355</v>
      </c>
      <c r="I68" s="3">
        <v>57848</v>
      </c>
      <c r="J68" s="3">
        <v>38726</v>
      </c>
      <c r="K68" s="3">
        <v>825</v>
      </c>
      <c r="L68" s="3">
        <v>122</v>
      </c>
      <c r="M68" s="3">
        <v>124</v>
      </c>
      <c r="N68" s="3">
        <v>163</v>
      </c>
      <c r="O68" s="3">
        <v>140</v>
      </c>
      <c r="P68" s="3"/>
      <c r="Q68" s="3">
        <v>1234</v>
      </c>
      <c r="R68" s="4">
        <v>3.19</v>
      </c>
      <c r="S68" s="6">
        <f>GlowNestSocialTable3[[#This Row],[Link Clicks]]/GlowNestSocialTable3[[#This Row],[Reach]]</f>
        <v>3.6151422816712285E-3</v>
      </c>
    </row>
    <row r="69" spans="1:19">
      <c r="A69" t="s">
        <v>101</v>
      </c>
      <c r="B69" s="2">
        <v>45696</v>
      </c>
      <c r="C69" t="s">
        <v>33</v>
      </c>
      <c r="D69" t="s">
        <v>37</v>
      </c>
      <c r="E69" t="s">
        <v>46</v>
      </c>
      <c r="F69" t="s">
        <v>22</v>
      </c>
      <c r="G69" t="s">
        <v>23</v>
      </c>
      <c r="H69" s="3">
        <v>32535</v>
      </c>
      <c r="I69" s="3">
        <v>12187</v>
      </c>
      <c r="J69" s="3">
        <v>9053</v>
      </c>
      <c r="K69" s="3">
        <v>332</v>
      </c>
      <c r="L69" s="3">
        <v>34</v>
      </c>
      <c r="M69" s="3">
        <v>53</v>
      </c>
      <c r="N69" s="3">
        <v>33</v>
      </c>
      <c r="O69" s="3">
        <v>169</v>
      </c>
      <c r="P69" s="3"/>
      <c r="Q69" s="3">
        <v>452</v>
      </c>
      <c r="R69" s="4">
        <v>4.99</v>
      </c>
      <c r="S69" s="6">
        <f>GlowNestSocialTable3[[#This Row],[Link Clicks]]/GlowNestSocialTable3[[#This Row],[Reach]]</f>
        <v>1.8667844913288413E-2</v>
      </c>
    </row>
    <row r="70" spans="1:19">
      <c r="A70" t="s">
        <v>102</v>
      </c>
      <c r="B70" s="2">
        <v>45696</v>
      </c>
      <c r="C70" t="s">
        <v>19</v>
      </c>
      <c r="D70" t="s">
        <v>37</v>
      </c>
      <c r="E70" t="s">
        <v>25</v>
      </c>
      <c r="F70" t="s">
        <v>31</v>
      </c>
      <c r="G70" t="s">
        <v>23</v>
      </c>
      <c r="H70" s="3">
        <v>70377</v>
      </c>
      <c r="I70" s="3">
        <v>47417</v>
      </c>
      <c r="J70" s="3">
        <v>31054</v>
      </c>
      <c r="K70" s="3">
        <v>833</v>
      </c>
      <c r="L70" s="3">
        <v>90</v>
      </c>
      <c r="M70" s="3">
        <v>92</v>
      </c>
      <c r="N70" s="3">
        <v>165</v>
      </c>
      <c r="O70" s="3">
        <v>206</v>
      </c>
      <c r="P70" s="3"/>
      <c r="Q70" s="3">
        <v>1180</v>
      </c>
      <c r="R70" s="4">
        <v>3.8</v>
      </c>
      <c r="S70" s="6">
        <f>GlowNestSocialTable3[[#This Row],[Link Clicks]]/GlowNestSocialTable3[[#This Row],[Reach]]</f>
        <v>6.6336059766857729E-3</v>
      </c>
    </row>
    <row r="71" spans="1:19">
      <c r="A71" t="s">
        <v>103</v>
      </c>
      <c r="B71" s="2">
        <v>45697</v>
      </c>
      <c r="C71" t="s">
        <v>36</v>
      </c>
      <c r="D71" t="s">
        <v>20</v>
      </c>
      <c r="E71" t="s">
        <v>46</v>
      </c>
      <c r="F71" t="s">
        <v>28</v>
      </c>
      <c r="G71" t="s">
        <v>23</v>
      </c>
      <c r="H71" s="3">
        <v>83313</v>
      </c>
      <c r="I71" s="3">
        <v>60721</v>
      </c>
      <c r="J71" s="3">
        <v>42927</v>
      </c>
      <c r="K71" s="3">
        <v>918</v>
      </c>
      <c r="L71" s="3">
        <v>94</v>
      </c>
      <c r="M71" s="3">
        <v>131</v>
      </c>
      <c r="N71" s="3">
        <v>174</v>
      </c>
      <c r="O71" s="3">
        <v>246</v>
      </c>
      <c r="P71" s="3">
        <v>24801</v>
      </c>
      <c r="Q71" s="3">
        <v>1317</v>
      </c>
      <c r="R71" s="4">
        <v>3.07</v>
      </c>
      <c r="S71" s="6">
        <f>GlowNestSocialTable3[[#This Row],[Link Clicks]]/GlowNestSocialTable3[[#This Row],[Reach]]</f>
        <v>5.7306590257879654E-3</v>
      </c>
    </row>
    <row r="72" spans="1:19">
      <c r="A72" t="s">
        <v>104</v>
      </c>
      <c r="B72" s="2">
        <v>45698</v>
      </c>
      <c r="C72" t="s">
        <v>19</v>
      </c>
      <c r="D72" t="s">
        <v>37</v>
      </c>
      <c r="E72" t="s">
        <v>49</v>
      </c>
      <c r="F72" t="s">
        <v>42</v>
      </c>
      <c r="G72" t="s">
        <v>23</v>
      </c>
      <c r="H72" s="3">
        <v>68880</v>
      </c>
      <c r="I72" s="3">
        <v>31509</v>
      </c>
      <c r="J72" s="3">
        <v>27729</v>
      </c>
      <c r="K72" s="3">
        <v>1453</v>
      </c>
      <c r="L72" s="3">
        <v>248</v>
      </c>
      <c r="M72" s="3">
        <v>162</v>
      </c>
      <c r="N72" s="3">
        <v>94</v>
      </c>
      <c r="O72" s="3">
        <v>252</v>
      </c>
      <c r="P72" s="3"/>
      <c r="Q72" s="3">
        <v>1957</v>
      </c>
      <c r="R72" s="4">
        <v>7.06</v>
      </c>
      <c r="S72" s="6">
        <f>GlowNestSocialTable3[[#This Row],[Link Clicks]]/GlowNestSocialTable3[[#This Row],[Reach]]</f>
        <v>9.0879584550470627E-3</v>
      </c>
    </row>
    <row r="73" spans="1:19">
      <c r="A73" t="s">
        <v>105</v>
      </c>
      <c r="B73" s="2">
        <v>45698</v>
      </c>
      <c r="C73" t="s">
        <v>33</v>
      </c>
      <c r="D73" t="s">
        <v>20</v>
      </c>
      <c r="E73" t="s">
        <v>46</v>
      </c>
      <c r="F73" t="s">
        <v>22</v>
      </c>
      <c r="G73" t="s">
        <v>23</v>
      </c>
      <c r="H73" s="3">
        <v>33728</v>
      </c>
      <c r="I73" s="3">
        <v>13048</v>
      </c>
      <c r="J73" s="3">
        <v>10004</v>
      </c>
      <c r="K73" s="3">
        <v>327</v>
      </c>
      <c r="L73" s="3">
        <v>62</v>
      </c>
      <c r="M73" s="3">
        <v>49</v>
      </c>
      <c r="N73" s="3">
        <v>67</v>
      </c>
      <c r="O73" s="3">
        <v>169</v>
      </c>
      <c r="P73" s="3">
        <v>7005</v>
      </c>
      <c r="Q73" s="3">
        <v>505</v>
      </c>
      <c r="R73" s="4">
        <v>5.05</v>
      </c>
      <c r="S73" s="6">
        <f>GlowNestSocialTable3[[#This Row],[Link Clicks]]/GlowNestSocialTable3[[#This Row],[Reach]]</f>
        <v>1.6893242702918834E-2</v>
      </c>
    </row>
    <row r="74" spans="1:19">
      <c r="A74" t="s">
        <v>106</v>
      </c>
      <c r="B74" s="2">
        <v>45699</v>
      </c>
      <c r="C74" t="s">
        <v>19</v>
      </c>
      <c r="D74" t="s">
        <v>30</v>
      </c>
      <c r="E74" t="s">
        <v>49</v>
      </c>
      <c r="F74" t="s">
        <v>22</v>
      </c>
      <c r="G74" t="s">
        <v>23</v>
      </c>
      <c r="H74" s="3">
        <v>67516</v>
      </c>
      <c r="I74" s="3">
        <v>32175</v>
      </c>
      <c r="J74" s="3">
        <v>21342</v>
      </c>
      <c r="K74" s="3">
        <v>601</v>
      </c>
      <c r="L74" s="3">
        <v>78</v>
      </c>
      <c r="M74" s="3">
        <v>90</v>
      </c>
      <c r="N74" s="3">
        <v>68</v>
      </c>
      <c r="O74" s="3">
        <v>171</v>
      </c>
      <c r="P74" s="3"/>
      <c r="Q74" s="3">
        <v>837</v>
      </c>
      <c r="R74" s="4">
        <v>3.92</v>
      </c>
      <c r="S74" s="6">
        <f>GlowNestSocialTable3[[#This Row],[Link Clicks]]/GlowNestSocialTable3[[#This Row],[Reach]]</f>
        <v>8.0123699746977792E-3</v>
      </c>
    </row>
    <row r="75" spans="1:19">
      <c r="A75" t="s">
        <v>107</v>
      </c>
      <c r="B75" s="2">
        <v>45699</v>
      </c>
      <c r="C75" t="s">
        <v>36</v>
      </c>
      <c r="D75" t="s">
        <v>34</v>
      </c>
      <c r="E75" t="s">
        <v>25</v>
      </c>
      <c r="F75" t="s">
        <v>31</v>
      </c>
      <c r="G75" t="s">
        <v>23</v>
      </c>
      <c r="H75" s="3">
        <v>83424</v>
      </c>
      <c r="I75" s="3">
        <v>43373</v>
      </c>
      <c r="J75" s="3">
        <v>28715</v>
      </c>
      <c r="K75" s="3">
        <v>281</v>
      </c>
      <c r="L75" s="3">
        <v>31</v>
      </c>
      <c r="M75" s="3">
        <v>43</v>
      </c>
      <c r="N75" s="3">
        <v>11</v>
      </c>
      <c r="O75" s="3">
        <v>133</v>
      </c>
      <c r="P75" s="3"/>
      <c r="Q75" s="3">
        <v>366</v>
      </c>
      <c r="R75" s="4">
        <v>1.27</v>
      </c>
      <c r="S75" s="6">
        <f>GlowNestSocialTable3[[#This Row],[Link Clicks]]/GlowNestSocialTable3[[#This Row],[Reach]]</f>
        <v>4.6317255789656972E-3</v>
      </c>
    </row>
    <row r="76" spans="1:19">
      <c r="A76" t="s">
        <v>108</v>
      </c>
      <c r="B76" s="2">
        <v>45700</v>
      </c>
      <c r="C76" t="s">
        <v>33</v>
      </c>
      <c r="D76" t="s">
        <v>34</v>
      </c>
      <c r="E76" t="s">
        <v>46</v>
      </c>
      <c r="F76" t="s">
        <v>28</v>
      </c>
      <c r="G76" t="s">
        <v>23</v>
      </c>
      <c r="H76" s="3">
        <v>31814</v>
      </c>
      <c r="I76" s="3">
        <v>8340</v>
      </c>
      <c r="J76" s="3">
        <v>6641</v>
      </c>
      <c r="K76" s="3">
        <v>133</v>
      </c>
      <c r="L76" s="3">
        <v>26</v>
      </c>
      <c r="M76" s="3">
        <v>18</v>
      </c>
      <c r="N76" s="3">
        <v>18</v>
      </c>
      <c r="O76" s="3">
        <v>106</v>
      </c>
      <c r="P76" s="3"/>
      <c r="Q76" s="3">
        <v>195</v>
      </c>
      <c r="R76" s="4">
        <v>2.94</v>
      </c>
      <c r="S76" s="6">
        <f>GlowNestSocialTable3[[#This Row],[Link Clicks]]/GlowNestSocialTable3[[#This Row],[Reach]]</f>
        <v>1.5961451588616171E-2</v>
      </c>
    </row>
    <row r="77" spans="1:19">
      <c r="A77" t="s">
        <v>109</v>
      </c>
      <c r="B77" s="2">
        <v>45701</v>
      </c>
      <c r="C77" t="s">
        <v>33</v>
      </c>
      <c r="D77" t="s">
        <v>37</v>
      </c>
      <c r="E77" t="s">
        <v>27</v>
      </c>
      <c r="F77" t="s">
        <v>44</v>
      </c>
      <c r="G77" t="s">
        <v>38</v>
      </c>
      <c r="H77" s="3">
        <v>30128</v>
      </c>
      <c r="I77" s="3">
        <v>20181</v>
      </c>
      <c r="J77" s="3">
        <v>13842</v>
      </c>
      <c r="K77" s="3">
        <v>596</v>
      </c>
      <c r="L77" s="3">
        <v>93</v>
      </c>
      <c r="M77" s="3">
        <v>49</v>
      </c>
      <c r="N77" s="3">
        <v>79</v>
      </c>
      <c r="O77" s="3">
        <v>270</v>
      </c>
      <c r="P77" s="3"/>
      <c r="Q77" s="3">
        <v>817</v>
      </c>
      <c r="R77" s="4">
        <v>5.9</v>
      </c>
      <c r="S77" s="6">
        <f>GlowNestSocialTable3[[#This Row],[Link Clicks]]/GlowNestSocialTable3[[#This Row],[Reach]]</f>
        <v>1.950585175552666E-2</v>
      </c>
    </row>
    <row r="78" spans="1:19">
      <c r="A78" t="s">
        <v>110</v>
      </c>
      <c r="B78" s="2">
        <v>45701</v>
      </c>
      <c r="C78" t="s">
        <v>19</v>
      </c>
      <c r="D78" t="s">
        <v>37</v>
      </c>
      <c r="E78" t="s">
        <v>27</v>
      </c>
      <c r="F78" t="s">
        <v>22</v>
      </c>
      <c r="G78" t="s">
        <v>23</v>
      </c>
      <c r="H78" s="3">
        <v>69864</v>
      </c>
      <c r="I78" s="3">
        <v>43399</v>
      </c>
      <c r="J78" s="3">
        <v>29758</v>
      </c>
      <c r="K78" s="3">
        <v>1541</v>
      </c>
      <c r="L78" s="3">
        <v>192</v>
      </c>
      <c r="M78" s="3">
        <v>226</v>
      </c>
      <c r="N78" s="3">
        <v>294</v>
      </c>
      <c r="O78" s="3">
        <v>441</v>
      </c>
      <c r="P78" s="3"/>
      <c r="Q78" s="3">
        <v>2253</v>
      </c>
      <c r="R78" s="4">
        <v>7.57</v>
      </c>
      <c r="S78" s="6">
        <f>GlowNestSocialTable3[[#This Row],[Link Clicks]]/GlowNestSocialTable3[[#This Row],[Reach]]</f>
        <v>1.4819544324215337E-2</v>
      </c>
    </row>
    <row r="79" spans="1:19">
      <c r="A79" t="s">
        <v>111</v>
      </c>
      <c r="B79" s="2">
        <v>45702</v>
      </c>
      <c r="C79" t="s">
        <v>19</v>
      </c>
      <c r="D79" t="s">
        <v>37</v>
      </c>
      <c r="E79" t="s">
        <v>49</v>
      </c>
      <c r="F79" t="s">
        <v>31</v>
      </c>
      <c r="G79" t="s">
        <v>23</v>
      </c>
      <c r="H79" s="3">
        <v>67637</v>
      </c>
      <c r="I79" s="3">
        <v>41906</v>
      </c>
      <c r="J79" s="3">
        <v>27205</v>
      </c>
      <c r="K79" s="3">
        <v>1259</v>
      </c>
      <c r="L79" s="3">
        <v>232</v>
      </c>
      <c r="M79" s="3">
        <v>130</v>
      </c>
      <c r="N79" s="3">
        <v>331</v>
      </c>
      <c r="O79" s="3">
        <v>252</v>
      </c>
      <c r="P79" s="3"/>
      <c r="Q79" s="3">
        <v>1952</v>
      </c>
      <c r="R79" s="4">
        <v>7.18</v>
      </c>
      <c r="S79" s="6">
        <f>GlowNestSocialTable3[[#This Row],[Link Clicks]]/GlowNestSocialTable3[[#This Row],[Reach]]</f>
        <v>9.2630031244256578E-3</v>
      </c>
    </row>
    <row r="80" spans="1:19">
      <c r="A80" t="s">
        <v>112</v>
      </c>
      <c r="B80" s="2">
        <v>45702</v>
      </c>
      <c r="C80" t="s">
        <v>19</v>
      </c>
      <c r="D80" t="s">
        <v>20</v>
      </c>
      <c r="E80" t="s">
        <v>25</v>
      </c>
      <c r="F80" t="s">
        <v>31</v>
      </c>
      <c r="G80" t="s">
        <v>23</v>
      </c>
      <c r="H80" s="3">
        <v>67389</v>
      </c>
      <c r="I80" s="3">
        <v>49954</v>
      </c>
      <c r="J80" s="3">
        <v>35777</v>
      </c>
      <c r="K80" s="3">
        <v>1556</v>
      </c>
      <c r="L80" s="3">
        <v>194</v>
      </c>
      <c r="M80" s="3">
        <v>179</v>
      </c>
      <c r="N80" s="3">
        <v>163</v>
      </c>
      <c r="O80" s="3">
        <v>249</v>
      </c>
      <c r="P80" s="3">
        <v>27126</v>
      </c>
      <c r="Q80" s="3">
        <v>2092</v>
      </c>
      <c r="R80" s="4">
        <v>5.85</v>
      </c>
      <c r="S80" s="6">
        <f>GlowNestSocialTable3[[#This Row],[Link Clicks]]/GlowNestSocialTable3[[#This Row],[Reach]]</f>
        <v>6.959778628727954E-3</v>
      </c>
    </row>
    <row r="81" spans="1:19">
      <c r="A81" t="s">
        <v>113</v>
      </c>
      <c r="B81" s="2">
        <v>45703</v>
      </c>
      <c r="C81" t="s">
        <v>19</v>
      </c>
      <c r="D81" t="s">
        <v>20</v>
      </c>
      <c r="E81" t="s">
        <v>25</v>
      </c>
      <c r="F81" t="s">
        <v>42</v>
      </c>
      <c r="G81" t="s">
        <v>23</v>
      </c>
      <c r="H81" s="3">
        <v>70660</v>
      </c>
      <c r="I81" s="3">
        <v>56243</v>
      </c>
      <c r="J81" s="3">
        <v>36437</v>
      </c>
      <c r="K81" s="3">
        <v>1541</v>
      </c>
      <c r="L81" s="3">
        <v>212</v>
      </c>
      <c r="M81" s="3">
        <v>163</v>
      </c>
      <c r="N81" s="3">
        <v>214</v>
      </c>
      <c r="O81" s="3">
        <v>360</v>
      </c>
      <c r="P81" s="3">
        <v>20854</v>
      </c>
      <c r="Q81" s="3">
        <v>2130</v>
      </c>
      <c r="R81" s="4">
        <v>5.85</v>
      </c>
      <c r="S81" s="6">
        <f>GlowNestSocialTable3[[#This Row],[Link Clicks]]/GlowNestSocialTable3[[#This Row],[Reach]]</f>
        <v>9.8800669648983173E-3</v>
      </c>
    </row>
    <row r="82" spans="1:19">
      <c r="A82" t="s">
        <v>114</v>
      </c>
      <c r="B82" s="2">
        <v>45704</v>
      </c>
      <c r="C82" t="s">
        <v>19</v>
      </c>
      <c r="D82" t="s">
        <v>37</v>
      </c>
      <c r="E82" t="s">
        <v>49</v>
      </c>
      <c r="F82" t="s">
        <v>44</v>
      </c>
      <c r="G82" t="s">
        <v>23</v>
      </c>
      <c r="H82" s="3">
        <v>68624</v>
      </c>
      <c r="I82" s="3">
        <v>26876</v>
      </c>
      <c r="J82" s="3">
        <v>24048</v>
      </c>
      <c r="K82" s="3">
        <v>1117</v>
      </c>
      <c r="L82" s="3">
        <v>152</v>
      </c>
      <c r="M82" s="3">
        <v>199</v>
      </c>
      <c r="N82" s="3">
        <v>338</v>
      </c>
      <c r="O82" s="3">
        <v>234</v>
      </c>
      <c r="P82" s="3"/>
      <c r="Q82" s="3">
        <v>1806</v>
      </c>
      <c r="R82" s="4">
        <v>7.51</v>
      </c>
      <c r="S82" s="6">
        <f>GlowNestSocialTable3[[#This Row],[Link Clicks]]/GlowNestSocialTable3[[#This Row],[Reach]]</f>
        <v>9.730538922155689E-3</v>
      </c>
    </row>
    <row r="83" spans="1:19">
      <c r="A83" t="s">
        <v>115</v>
      </c>
      <c r="B83" s="2">
        <v>45704</v>
      </c>
      <c r="C83" t="s">
        <v>36</v>
      </c>
      <c r="D83" t="s">
        <v>30</v>
      </c>
      <c r="E83" t="s">
        <v>49</v>
      </c>
      <c r="F83" t="s">
        <v>44</v>
      </c>
      <c r="G83" t="s">
        <v>23</v>
      </c>
      <c r="H83" s="3">
        <v>82011</v>
      </c>
      <c r="I83" s="3">
        <v>50783</v>
      </c>
      <c r="J83" s="3">
        <v>34024</v>
      </c>
      <c r="K83" s="3">
        <v>508</v>
      </c>
      <c r="L83" s="3">
        <v>85</v>
      </c>
      <c r="M83" s="3">
        <v>56</v>
      </c>
      <c r="N83" s="3"/>
      <c r="O83" s="3">
        <v>130</v>
      </c>
      <c r="P83" s="3"/>
      <c r="Q83" s="3">
        <v>726</v>
      </c>
      <c r="R83" s="4">
        <v>2.13</v>
      </c>
      <c r="S83" s="6">
        <f>GlowNestSocialTable3[[#This Row],[Link Clicks]]/GlowNestSocialTable3[[#This Row],[Reach]]</f>
        <v>3.82083235363273E-3</v>
      </c>
    </row>
    <row r="84" spans="1:19">
      <c r="A84" t="s">
        <v>116</v>
      </c>
      <c r="B84" s="2">
        <v>45705</v>
      </c>
      <c r="C84" t="s">
        <v>36</v>
      </c>
      <c r="D84" t="s">
        <v>20</v>
      </c>
      <c r="E84" t="s">
        <v>27</v>
      </c>
      <c r="F84" t="s">
        <v>42</v>
      </c>
      <c r="G84" t="s">
        <v>23</v>
      </c>
      <c r="H84" s="3">
        <v>82146</v>
      </c>
      <c r="I84" s="3">
        <v>76051</v>
      </c>
      <c r="J84" s="3">
        <v>61587</v>
      </c>
      <c r="K84" s="3">
        <v>1685</v>
      </c>
      <c r="L84" s="3">
        <v>261</v>
      </c>
      <c r="M84" s="3">
        <v>302</v>
      </c>
      <c r="N84" s="3">
        <v>788</v>
      </c>
      <c r="O84" s="3">
        <v>340</v>
      </c>
      <c r="P84" s="3">
        <v>50856</v>
      </c>
      <c r="Q84" s="3">
        <v>3036</v>
      </c>
      <c r="R84" s="4">
        <v>4.93</v>
      </c>
      <c r="S84" s="6">
        <f>GlowNestSocialTable3[[#This Row],[Link Clicks]]/GlowNestSocialTable3[[#This Row],[Reach]]</f>
        <v>5.5206455907902642E-3</v>
      </c>
    </row>
    <row r="85" spans="1:19">
      <c r="A85" t="s">
        <v>117</v>
      </c>
      <c r="B85" s="2">
        <v>45706</v>
      </c>
      <c r="C85" t="s">
        <v>19</v>
      </c>
      <c r="D85" t="s">
        <v>37</v>
      </c>
      <c r="E85" t="s">
        <v>25</v>
      </c>
      <c r="F85" t="s">
        <v>22</v>
      </c>
      <c r="G85" t="s">
        <v>23</v>
      </c>
      <c r="H85" s="3">
        <v>68727</v>
      </c>
      <c r="I85" s="3">
        <v>42618</v>
      </c>
      <c r="J85" s="3">
        <v>30307</v>
      </c>
      <c r="K85" s="3">
        <v>1045</v>
      </c>
      <c r="L85" s="3">
        <v>104</v>
      </c>
      <c r="M85" s="3">
        <v>93</v>
      </c>
      <c r="N85" s="3">
        <v>168</v>
      </c>
      <c r="O85" s="3">
        <v>298</v>
      </c>
      <c r="P85" s="3"/>
      <c r="Q85" s="3">
        <v>1410</v>
      </c>
      <c r="R85" s="4">
        <v>4.6500000000000004</v>
      </c>
      <c r="S85" s="6">
        <f>GlowNestSocialTable3[[#This Row],[Link Clicks]]/GlowNestSocialTable3[[#This Row],[Reach]]</f>
        <v>9.832711914739169E-3</v>
      </c>
    </row>
    <row r="86" spans="1:19">
      <c r="A86" t="s">
        <v>118</v>
      </c>
      <c r="B86" s="2">
        <v>45706</v>
      </c>
      <c r="C86" t="s">
        <v>36</v>
      </c>
      <c r="D86" t="s">
        <v>30</v>
      </c>
      <c r="E86" t="s">
        <v>27</v>
      </c>
      <c r="F86" t="s">
        <v>42</v>
      </c>
      <c r="G86" t="s">
        <v>23</v>
      </c>
      <c r="H86" s="3">
        <v>81270</v>
      </c>
      <c r="I86" s="3">
        <v>43013</v>
      </c>
      <c r="J86" s="3">
        <v>30711</v>
      </c>
      <c r="K86" s="3">
        <v>541</v>
      </c>
      <c r="L86" s="3">
        <v>90</v>
      </c>
      <c r="M86" s="3">
        <v>86</v>
      </c>
      <c r="N86" s="3">
        <v>88</v>
      </c>
      <c r="O86" s="3">
        <v>134</v>
      </c>
      <c r="P86" s="3"/>
      <c r="Q86" s="3">
        <v>805</v>
      </c>
      <c r="R86" s="4">
        <v>2.62</v>
      </c>
      <c r="S86" s="6">
        <f>GlowNestSocialTable3[[#This Row],[Link Clicks]]/GlowNestSocialTable3[[#This Row],[Reach]]</f>
        <v>4.363257464752043E-3</v>
      </c>
    </row>
    <row r="87" spans="1:19">
      <c r="A87" t="s">
        <v>119</v>
      </c>
      <c r="B87" s="2">
        <v>45707</v>
      </c>
      <c r="C87" t="s">
        <v>36</v>
      </c>
      <c r="D87" t="s">
        <v>34</v>
      </c>
      <c r="E87" t="s">
        <v>49</v>
      </c>
      <c r="F87" t="s">
        <v>28</v>
      </c>
      <c r="G87" t="s">
        <v>23</v>
      </c>
      <c r="H87" s="3">
        <v>84629</v>
      </c>
      <c r="I87" s="3">
        <v>31987</v>
      </c>
      <c r="J87" s="3">
        <v>24013</v>
      </c>
      <c r="K87" s="3">
        <v>269</v>
      </c>
      <c r="L87" s="3">
        <v>35</v>
      </c>
      <c r="M87" s="3">
        <v>30</v>
      </c>
      <c r="N87" s="3">
        <v>21</v>
      </c>
      <c r="O87" s="3">
        <v>128</v>
      </c>
      <c r="P87" s="3"/>
      <c r="Q87" s="3">
        <v>355</v>
      </c>
      <c r="R87" s="4">
        <v>1.48</v>
      </c>
      <c r="S87" s="6">
        <f>GlowNestSocialTable3[[#This Row],[Link Clicks]]/GlowNestSocialTable3[[#This Row],[Reach]]</f>
        <v>5.3304460084121104E-3</v>
      </c>
    </row>
    <row r="88" spans="1:19">
      <c r="A88" t="s">
        <v>120</v>
      </c>
      <c r="B88" s="2">
        <v>45707</v>
      </c>
      <c r="C88" t="s">
        <v>36</v>
      </c>
      <c r="D88" t="s">
        <v>30</v>
      </c>
      <c r="E88" t="s">
        <v>46</v>
      </c>
      <c r="F88" t="s">
        <v>42</v>
      </c>
      <c r="G88" t="s">
        <v>23</v>
      </c>
      <c r="H88" s="3">
        <v>84053</v>
      </c>
      <c r="I88" s="3">
        <v>47659</v>
      </c>
      <c r="J88" s="3">
        <v>35140</v>
      </c>
      <c r="K88" s="3">
        <v>334</v>
      </c>
      <c r="L88" s="3">
        <v>51</v>
      </c>
      <c r="M88" s="3">
        <v>51</v>
      </c>
      <c r="N88" s="3">
        <v>73</v>
      </c>
      <c r="O88" s="3">
        <v>214</v>
      </c>
      <c r="P88" s="3"/>
      <c r="Q88" s="3">
        <v>509</v>
      </c>
      <c r="R88" s="4">
        <v>1.45</v>
      </c>
      <c r="S88" s="6">
        <f>GlowNestSocialTable3[[#This Row],[Link Clicks]]/GlowNestSocialTable3[[#This Row],[Reach]]</f>
        <v>6.0899260102447355E-3</v>
      </c>
    </row>
    <row r="89" spans="1:19">
      <c r="A89" t="s">
        <v>121</v>
      </c>
      <c r="B89" s="2">
        <v>45708</v>
      </c>
      <c r="C89" t="s">
        <v>33</v>
      </c>
      <c r="D89" t="s">
        <v>20</v>
      </c>
      <c r="E89" t="s">
        <v>46</v>
      </c>
      <c r="F89" t="s">
        <v>28</v>
      </c>
      <c r="G89" t="s">
        <v>23</v>
      </c>
      <c r="H89" s="3">
        <v>32747</v>
      </c>
      <c r="I89" s="3">
        <v>9482</v>
      </c>
      <c r="J89" s="3">
        <v>8022</v>
      </c>
      <c r="K89" s="3">
        <v>277</v>
      </c>
      <c r="L89" s="3">
        <v>30</v>
      </c>
      <c r="M89" s="3">
        <v>28</v>
      </c>
      <c r="N89" s="3">
        <v>96</v>
      </c>
      <c r="O89" s="3">
        <v>128</v>
      </c>
      <c r="P89" s="3">
        <v>4498</v>
      </c>
      <c r="Q89" s="3">
        <v>431</v>
      </c>
      <c r="R89" s="4">
        <v>5.37</v>
      </c>
      <c r="S89" s="6">
        <f>GlowNestSocialTable3[[#This Row],[Link Clicks]]/GlowNestSocialTable3[[#This Row],[Reach]]</f>
        <v>1.5956120668162554E-2</v>
      </c>
    </row>
    <row r="90" spans="1:19">
      <c r="A90" t="s">
        <v>122</v>
      </c>
      <c r="B90" s="2">
        <v>45709</v>
      </c>
      <c r="C90" t="s">
        <v>19</v>
      </c>
      <c r="D90" t="s">
        <v>34</v>
      </c>
      <c r="E90" t="s">
        <v>27</v>
      </c>
      <c r="F90" t="s">
        <v>31</v>
      </c>
      <c r="G90" t="s">
        <v>23</v>
      </c>
      <c r="H90" s="3">
        <v>69951</v>
      </c>
      <c r="I90" s="3">
        <v>30217</v>
      </c>
      <c r="J90" s="3">
        <v>22384</v>
      </c>
      <c r="K90" s="3">
        <v>600</v>
      </c>
      <c r="L90" s="3">
        <v>95</v>
      </c>
      <c r="M90" s="3">
        <v>102</v>
      </c>
      <c r="N90" s="3">
        <v>124</v>
      </c>
      <c r="O90" s="3">
        <v>332</v>
      </c>
      <c r="P90" s="3"/>
      <c r="Q90" s="3">
        <v>921</v>
      </c>
      <c r="R90" s="4">
        <v>4.1100000000000003</v>
      </c>
      <c r="S90" s="6">
        <f>GlowNestSocialTable3[[#This Row],[Link Clicks]]/GlowNestSocialTable3[[#This Row],[Reach]]</f>
        <v>1.4832022873481059E-2</v>
      </c>
    </row>
    <row r="91" spans="1:19">
      <c r="A91" t="s">
        <v>123</v>
      </c>
      <c r="B91" s="2">
        <v>45709</v>
      </c>
      <c r="C91" t="s">
        <v>19</v>
      </c>
      <c r="D91" t="s">
        <v>37</v>
      </c>
      <c r="E91" t="s">
        <v>27</v>
      </c>
      <c r="F91" t="s">
        <v>22</v>
      </c>
      <c r="G91" t="s">
        <v>38</v>
      </c>
      <c r="H91" s="3">
        <v>68021</v>
      </c>
      <c r="I91" s="3">
        <v>60792</v>
      </c>
      <c r="J91" s="3">
        <v>45847</v>
      </c>
      <c r="K91" s="3">
        <v>1873</v>
      </c>
      <c r="L91" s="3">
        <v>249</v>
      </c>
      <c r="M91" s="3">
        <v>307</v>
      </c>
      <c r="N91" s="3">
        <v>746</v>
      </c>
      <c r="O91" s="3">
        <v>710</v>
      </c>
      <c r="P91" s="3"/>
      <c r="Q91" s="3">
        <v>3175</v>
      </c>
      <c r="R91" s="4">
        <v>6.93</v>
      </c>
      <c r="S91" s="6">
        <f>GlowNestSocialTable3[[#This Row],[Link Clicks]]/GlowNestSocialTable3[[#This Row],[Reach]]</f>
        <v>1.5486291360394356E-2</v>
      </c>
    </row>
    <row r="92" spans="1:19">
      <c r="A92" t="s">
        <v>124</v>
      </c>
      <c r="B92" s="2">
        <v>45710</v>
      </c>
      <c r="C92" t="s">
        <v>36</v>
      </c>
      <c r="D92" t="s">
        <v>37</v>
      </c>
      <c r="E92" t="s">
        <v>25</v>
      </c>
      <c r="F92" t="s">
        <v>42</v>
      </c>
      <c r="G92" t="s">
        <v>23</v>
      </c>
      <c r="H92" s="3">
        <v>83712</v>
      </c>
      <c r="I92" s="3">
        <v>49044</v>
      </c>
      <c r="J92" s="3">
        <v>43911</v>
      </c>
      <c r="K92" s="3">
        <v>564</v>
      </c>
      <c r="L92" s="3">
        <v>84</v>
      </c>
      <c r="M92" s="3">
        <v>86</v>
      </c>
      <c r="N92" s="3">
        <v>7</v>
      </c>
      <c r="O92" s="3">
        <v>134</v>
      </c>
      <c r="P92" s="3"/>
      <c r="Q92" s="3">
        <v>741</v>
      </c>
      <c r="R92" s="4">
        <v>1.69</v>
      </c>
      <c r="S92" s="6">
        <f>GlowNestSocialTable3[[#This Row],[Link Clicks]]/GlowNestSocialTable3[[#This Row],[Reach]]</f>
        <v>3.0516271549270117E-3</v>
      </c>
    </row>
    <row r="93" spans="1:19">
      <c r="A93" t="s">
        <v>125</v>
      </c>
      <c r="B93" s="2">
        <v>45710</v>
      </c>
      <c r="C93" t="s">
        <v>19</v>
      </c>
      <c r="D93" t="s">
        <v>30</v>
      </c>
      <c r="E93" t="s">
        <v>46</v>
      </c>
      <c r="F93" t="s">
        <v>28</v>
      </c>
      <c r="G93" t="s">
        <v>23</v>
      </c>
      <c r="H93" s="3">
        <v>72594</v>
      </c>
      <c r="I93" s="3">
        <v>18898</v>
      </c>
      <c r="J93" s="3">
        <v>15994</v>
      </c>
      <c r="K93" s="3">
        <v>535</v>
      </c>
      <c r="L93" s="3">
        <v>56</v>
      </c>
      <c r="M93" s="3">
        <v>69</v>
      </c>
      <c r="N93" s="3">
        <v>80</v>
      </c>
      <c r="O93" s="3">
        <v>207</v>
      </c>
      <c r="P93" s="3"/>
      <c r="Q93" s="3">
        <v>740</v>
      </c>
      <c r="R93" s="4">
        <v>4.63</v>
      </c>
      <c r="S93" s="6">
        <f>GlowNestSocialTable3[[#This Row],[Link Clicks]]/GlowNestSocialTable3[[#This Row],[Reach]]</f>
        <v>1.2942353382518444E-2</v>
      </c>
    </row>
    <row r="94" spans="1:19">
      <c r="A94" t="s">
        <v>126</v>
      </c>
      <c r="B94" s="2">
        <v>45711</v>
      </c>
      <c r="C94" t="s">
        <v>19</v>
      </c>
      <c r="D94" t="s">
        <v>34</v>
      </c>
      <c r="E94" t="s">
        <v>25</v>
      </c>
      <c r="F94" t="s">
        <v>44</v>
      </c>
      <c r="G94" t="s">
        <v>23</v>
      </c>
      <c r="H94" s="3">
        <v>70379</v>
      </c>
      <c r="I94" s="3">
        <v>21326</v>
      </c>
      <c r="J94" s="3">
        <v>15417</v>
      </c>
      <c r="K94" s="3">
        <v>325</v>
      </c>
      <c r="L94" s="3">
        <v>38</v>
      </c>
      <c r="M94" s="3">
        <v>35</v>
      </c>
      <c r="N94" s="3">
        <v>46</v>
      </c>
      <c r="O94" s="3">
        <v>119</v>
      </c>
      <c r="P94" s="3"/>
      <c r="Q94" s="3">
        <v>444</v>
      </c>
      <c r="R94" s="4">
        <v>2.88</v>
      </c>
      <c r="S94" s="6">
        <f>GlowNestSocialTable3[[#This Row],[Link Clicks]]/GlowNestSocialTable3[[#This Row],[Reach]]</f>
        <v>7.7187520269832001E-3</v>
      </c>
    </row>
    <row r="95" spans="1:19">
      <c r="A95" t="s">
        <v>127</v>
      </c>
      <c r="B95" s="2">
        <v>45712</v>
      </c>
      <c r="C95" t="s">
        <v>36</v>
      </c>
      <c r="D95" t="s">
        <v>37</v>
      </c>
      <c r="E95" t="s">
        <v>21</v>
      </c>
      <c r="F95" t="s">
        <v>28</v>
      </c>
      <c r="G95" t="s">
        <v>23</v>
      </c>
      <c r="H95" s="3">
        <v>82078</v>
      </c>
      <c r="I95" s="3">
        <v>38529</v>
      </c>
      <c r="J95" s="3">
        <v>27679</v>
      </c>
      <c r="K95" s="3">
        <v>439</v>
      </c>
      <c r="L95" s="3">
        <v>69</v>
      </c>
      <c r="M95" s="3">
        <v>69</v>
      </c>
      <c r="N95" s="3">
        <v>7</v>
      </c>
      <c r="O95" s="3">
        <v>109</v>
      </c>
      <c r="P95" s="3"/>
      <c r="Q95" s="3">
        <v>584</v>
      </c>
      <c r="R95" s="4">
        <v>2.11</v>
      </c>
      <c r="S95" s="6">
        <f>GlowNestSocialTable3[[#This Row],[Link Clicks]]/GlowNestSocialTable3[[#This Row],[Reach]]</f>
        <v>3.9380035405903397E-3</v>
      </c>
    </row>
    <row r="96" spans="1:19">
      <c r="A96" t="s">
        <v>128</v>
      </c>
      <c r="B96" s="2">
        <v>45712</v>
      </c>
      <c r="C96" t="s">
        <v>36</v>
      </c>
      <c r="D96" t="s">
        <v>34</v>
      </c>
      <c r="E96" t="s">
        <v>27</v>
      </c>
      <c r="F96" t="s">
        <v>28</v>
      </c>
      <c r="G96" t="s">
        <v>23</v>
      </c>
      <c r="H96" s="3">
        <v>82620</v>
      </c>
      <c r="I96" s="3">
        <v>41568</v>
      </c>
      <c r="J96" s="3">
        <v>29100</v>
      </c>
      <c r="K96" s="3">
        <v>535</v>
      </c>
      <c r="L96" s="3">
        <v>75</v>
      </c>
      <c r="M96" s="3">
        <v>53</v>
      </c>
      <c r="N96" s="3">
        <v>85</v>
      </c>
      <c r="O96" s="3">
        <v>199</v>
      </c>
      <c r="P96" s="3"/>
      <c r="Q96" s="3">
        <v>748</v>
      </c>
      <c r="R96" s="4">
        <v>2.57</v>
      </c>
      <c r="S96" s="6">
        <f>GlowNestSocialTable3[[#This Row],[Link Clicks]]/GlowNestSocialTable3[[#This Row],[Reach]]</f>
        <v>6.8384879725085909E-3</v>
      </c>
    </row>
    <row r="97" spans="1:19">
      <c r="A97" t="s">
        <v>129</v>
      </c>
      <c r="B97" s="2">
        <v>45713</v>
      </c>
      <c r="C97" t="s">
        <v>36</v>
      </c>
      <c r="D97" t="s">
        <v>34</v>
      </c>
      <c r="E97" t="s">
        <v>25</v>
      </c>
      <c r="F97" t="s">
        <v>22</v>
      </c>
      <c r="G97" t="s">
        <v>23</v>
      </c>
      <c r="H97" s="3">
        <v>82252</v>
      </c>
      <c r="I97" s="3">
        <v>50698</v>
      </c>
      <c r="J97" s="3">
        <v>36720</v>
      </c>
      <c r="K97" s="3">
        <v>338</v>
      </c>
      <c r="L97" s="3">
        <v>42</v>
      </c>
      <c r="M97" s="3">
        <v>31</v>
      </c>
      <c r="N97" s="3">
        <v>38</v>
      </c>
      <c r="O97" s="3">
        <v>118</v>
      </c>
      <c r="P97" s="3"/>
      <c r="Q97" s="3">
        <v>449</v>
      </c>
      <c r="R97" s="4">
        <v>1.22</v>
      </c>
      <c r="S97" s="6">
        <f>GlowNestSocialTable3[[#This Row],[Link Clicks]]/GlowNestSocialTable3[[#This Row],[Reach]]</f>
        <v>3.2135076252723313E-3</v>
      </c>
    </row>
    <row r="98" spans="1:19">
      <c r="A98" t="s">
        <v>130</v>
      </c>
      <c r="B98" s="2">
        <v>45713</v>
      </c>
      <c r="C98" t="s">
        <v>19</v>
      </c>
      <c r="D98" t="s">
        <v>20</v>
      </c>
      <c r="E98" t="s">
        <v>21</v>
      </c>
      <c r="F98" t="s">
        <v>44</v>
      </c>
      <c r="G98" t="s">
        <v>23</v>
      </c>
      <c r="H98" s="3">
        <v>69079</v>
      </c>
      <c r="I98" s="3">
        <v>37951</v>
      </c>
      <c r="J98" s="3">
        <v>24601</v>
      </c>
      <c r="K98" s="3">
        <v>1477</v>
      </c>
      <c r="L98" s="3">
        <v>162</v>
      </c>
      <c r="M98" s="3">
        <v>198</v>
      </c>
      <c r="N98" s="3">
        <v>243</v>
      </c>
      <c r="O98" s="3">
        <v>266</v>
      </c>
      <c r="P98" s="3">
        <v>18539</v>
      </c>
      <c r="Q98" s="3">
        <v>2080</v>
      </c>
      <c r="R98" s="4">
        <v>8.4499999999999993</v>
      </c>
      <c r="S98" s="6">
        <f>GlowNestSocialTable3[[#This Row],[Link Clicks]]/GlowNestSocialTable3[[#This Row],[Reach]]</f>
        <v>1.081256859477257E-2</v>
      </c>
    </row>
    <row r="99" spans="1:19">
      <c r="A99" t="s">
        <v>131</v>
      </c>
      <c r="B99" s="2">
        <v>45714</v>
      </c>
      <c r="C99" t="s">
        <v>19</v>
      </c>
      <c r="D99" t="s">
        <v>34</v>
      </c>
      <c r="E99" t="s">
        <v>46</v>
      </c>
      <c r="F99" t="s">
        <v>22</v>
      </c>
      <c r="G99" t="s">
        <v>23</v>
      </c>
      <c r="H99" s="3">
        <v>69019</v>
      </c>
      <c r="I99" s="3">
        <v>25650</v>
      </c>
      <c r="J99" s="3">
        <v>16953</v>
      </c>
      <c r="K99" s="3">
        <v>399</v>
      </c>
      <c r="L99" s="3">
        <v>60</v>
      </c>
      <c r="M99" s="3">
        <v>48</v>
      </c>
      <c r="N99" s="3">
        <v>64</v>
      </c>
      <c r="O99" s="3">
        <v>244</v>
      </c>
      <c r="P99" s="3"/>
      <c r="Q99" s="3">
        <v>571</v>
      </c>
      <c r="R99" s="4">
        <v>3.37</v>
      </c>
      <c r="S99" s="6">
        <f>GlowNestSocialTable3[[#This Row],[Link Clicks]]/GlowNestSocialTable3[[#This Row],[Reach]]</f>
        <v>1.439273284964313E-2</v>
      </c>
    </row>
    <row r="100" spans="1:19">
      <c r="A100" t="s">
        <v>132</v>
      </c>
      <c r="B100" s="2">
        <v>45715</v>
      </c>
      <c r="C100" t="s">
        <v>19</v>
      </c>
      <c r="D100" t="s">
        <v>20</v>
      </c>
      <c r="E100" t="s">
        <v>27</v>
      </c>
      <c r="F100" t="s">
        <v>22</v>
      </c>
      <c r="G100" t="s">
        <v>23</v>
      </c>
      <c r="H100" s="3">
        <v>68830</v>
      </c>
      <c r="I100" s="3">
        <v>32929</v>
      </c>
      <c r="J100" s="3">
        <v>24798</v>
      </c>
      <c r="K100" s="3">
        <v>1208</v>
      </c>
      <c r="L100" s="3">
        <v>148</v>
      </c>
      <c r="M100" s="3">
        <v>180</v>
      </c>
      <c r="N100" s="3">
        <v>487</v>
      </c>
      <c r="O100" s="3">
        <v>257</v>
      </c>
      <c r="P100" s="3">
        <v>14054</v>
      </c>
      <c r="Q100" s="3">
        <v>2023</v>
      </c>
      <c r="R100" s="4">
        <v>8.16</v>
      </c>
      <c r="S100" s="6">
        <f>GlowNestSocialTable3[[#This Row],[Link Clicks]]/GlowNestSocialTable3[[#This Row],[Reach]]</f>
        <v>1.0363739011210581E-2</v>
      </c>
    </row>
    <row r="101" spans="1:19">
      <c r="A101" t="s">
        <v>133</v>
      </c>
      <c r="B101" s="2">
        <v>45715</v>
      </c>
      <c r="C101" t="s">
        <v>36</v>
      </c>
      <c r="D101" t="s">
        <v>20</v>
      </c>
      <c r="E101" t="s">
        <v>21</v>
      </c>
      <c r="F101" t="s">
        <v>44</v>
      </c>
      <c r="G101" t="s">
        <v>23</v>
      </c>
      <c r="H101" s="3">
        <v>82794</v>
      </c>
      <c r="I101" s="3">
        <v>50069</v>
      </c>
      <c r="J101" s="3">
        <v>40146</v>
      </c>
      <c r="K101" s="3">
        <v>984</v>
      </c>
      <c r="L101" s="3">
        <v>134</v>
      </c>
      <c r="M101" s="3">
        <v>92</v>
      </c>
      <c r="N101" s="3">
        <v>391</v>
      </c>
      <c r="O101" s="3">
        <v>207</v>
      </c>
      <c r="P101" s="3">
        <v>23680</v>
      </c>
      <c r="Q101" s="3">
        <v>1601</v>
      </c>
      <c r="R101" s="4">
        <v>3.99</v>
      </c>
      <c r="S101" s="6">
        <f>GlowNestSocialTable3[[#This Row],[Link Clicks]]/GlowNestSocialTable3[[#This Row],[Reach]]</f>
        <v>5.156179943207293E-3</v>
      </c>
    </row>
    <row r="102" spans="1:19">
      <c r="A102" t="s">
        <v>134</v>
      </c>
      <c r="B102" s="2">
        <v>45716</v>
      </c>
      <c r="C102" t="s">
        <v>19</v>
      </c>
      <c r="D102" t="s">
        <v>20</v>
      </c>
      <c r="E102" t="s">
        <v>25</v>
      </c>
      <c r="F102" t="s">
        <v>28</v>
      </c>
      <c r="G102" t="s">
        <v>23</v>
      </c>
      <c r="H102" s="3">
        <v>68838</v>
      </c>
      <c r="I102" s="3">
        <v>51121</v>
      </c>
      <c r="J102" s="3">
        <v>33965</v>
      </c>
      <c r="K102" s="3">
        <v>1087</v>
      </c>
      <c r="L102" s="3">
        <v>146</v>
      </c>
      <c r="M102" s="3">
        <v>161</v>
      </c>
      <c r="N102" s="3">
        <v>180</v>
      </c>
      <c r="O102" s="3">
        <v>236</v>
      </c>
      <c r="P102" s="3">
        <v>21145</v>
      </c>
      <c r="Q102" s="3">
        <v>1574</v>
      </c>
      <c r="R102" s="4">
        <v>4.63</v>
      </c>
      <c r="S102" s="6">
        <f>GlowNestSocialTable3[[#This Row],[Link Clicks]]/GlowNestSocialTable3[[#This Row],[Reach]]</f>
        <v>6.9483291623730313E-3</v>
      </c>
    </row>
    <row r="103" spans="1:19">
      <c r="A103" t="s">
        <v>135</v>
      </c>
      <c r="B103" s="2">
        <v>45716</v>
      </c>
      <c r="C103" t="s">
        <v>19</v>
      </c>
      <c r="D103" t="s">
        <v>20</v>
      </c>
      <c r="E103" t="s">
        <v>27</v>
      </c>
      <c r="F103" t="s">
        <v>42</v>
      </c>
      <c r="G103" t="s">
        <v>23</v>
      </c>
      <c r="H103" s="3">
        <v>70139</v>
      </c>
      <c r="I103" s="3">
        <v>36340</v>
      </c>
      <c r="J103" s="3">
        <v>26210</v>
      </c>
      <c r="K103" s="3">
        <v>2005</v>
      </c>
      <c r="L103" s="3">
        <v>222</v>
      </c>
      <c r="M103" s="3">
        <v>219</v>
      </c>
      <c r="N103" s="3">
        <v>422</v>
      </c>
      <c r="O103" s="3">
        <v>258</v>
      </c>
      <c r="P103" s="3">
        <v>22065</v>
      </c>
      <c r="Q103" s="3">
        <v>2868</v>
      </c>
      <c r="R103" s="4">
        <v>10.94</v>
      </c>
      <c r="S103" s="6">
        <f>GlowNestSocialTable3[[#This Row],[Link Clicks]]/GlowNestSocialTable3[[#This Row],[Reach]]</f>
        <v>9.8435711560473094E-3</v>
      </c>
    </row>
    <row r="104" spans="1:19">
      <c r="A104" t="s">
        <v>136</v>
      </c>
      <c r="B104" s="2">
        <v>45717</v>
      </c>
      <c r="C104" t="s">
        <v>19</v>
      </c>
      <c r="D104" t="s">
        <v>30</v>
      </c>
      <c r="E104" t="s">
        <v>46</v>
      </c>
      <c r="F104" t="s">
        <v>31</v>
      </c>
      <c r="G104" t="s">
        <v>23</v>
      </c>
      <c r="H104" s="3">
        <v>68467</v>
      </c>
      <c r="I104" s="3">
        <v>26051</v>
      </c>
      <c r="J104" s="3">
        <v>19508</v>
      </c>
      <c r="K104" s="3">
        <v>551</v>
      </c>
      <c r="L104" s="3">
        <v>54</v>
      </c>
      <c r="M104" s="3">
        <v>58</v>
      </c>
      <c r="N104" s="3">
        <v>80</v>
      </c>
      <c r="O104" s="3">
        <v>200</v>
      </c>
      <c r="P104" s="3"/>
      <c r="Q104" s="3">
        <v>743</v>
      </c>
      <c r="R104" s="4">
        <v>3.81</v>
      </c>
      <c r="S104" s="6">
        <f>GlowNestSocialTable3[[#This Row],[Link Clicks]]/GlowNestSocialTable3[[#This Row],[Reach]]</f>
        <v>1.0252204223908139E-2</v>
      </c>
    </row>
    <row r="105" spans="1:19">
      <c r="A105" t="s">
        <v>137</v>
      </c>
      <c r="B105" s="2">
        <v>45718</v>
      </c>
      <c r="C105" t="s">
        <v>33</v>
      </c>
      <c r="D105" t="s">
        <v>34</v>
      </c>
      <c r="E105" t="s">
        <v>25</v>
      </c>
      <c r="F105" t="s">
        <v>42</v>
      </c>
      <c r="G105" t="s">
        <v>23</v>
      </c>
      <c r="H105" s="3">
        <v>31910</v>
      </c>
      <c r="I105" s="3">
        <v>6703</v>
      </c>
      <c r="J105" s="3">
        <v>6141</v>
      </c>
      <c r="K105" s="3">
        <v>89</v>
      </c>
      <c r="L105" s="3">
        <v>11</v>
      </c>
      <c r="M105" s="3">
        <v>10</v>
      </c>
      <c r="N105" s="3">
        <v>9</v>
      </c>
      <c r="O105" s="3">
        <v>69</v>
      </c>
      <c r="P105" s="3"/>
      <c r="Q105" s="3">
        <v>119</v>
      </c>
      <c r="R105" s="4">
        <v>1.94</v>
      </c>
      <c r="S105" s="6">
        <f>GlowNestSocialTable3[[#This Row],[Link Clicks]]/GlowNestSocialTable3[[#This Row],[Reach]]</f>
        <v>1.1235955056179775E-2</v>
      </c>
    </row>
    <row r="106" spans="1:19">
      <c r="A106" t="s">
        <v>138</v>
      </c>
      <c r="B106" s="2">
        <v>45718</v>
      </c>
      <c r="C106" t="s">
        <v>19</v>
      </c>
      <c r="D106" t="s">
        <v>30</v>
      </c>
      <c r="E106" t="s">
        <v>46</v>
      </c>
      <c r="F106" t="s">
        <v>31</v>
      </c>
      <c r="G106" t="s">
        <v>23</v>
      </c>
      <c r="H106" s="3">
        <v>70262</v>
      </c>
      <c r="I106" s="3">
        <v>27859</v>
      </c>
      <c r="J106" s="3">
        <v>22544</v>
      </c>
      <c r="K106" s="3">
        <v>682</v>
      </c>
      <c r="L106" s="3">
        <v>86</v>
      </c>
      <c r="M106" s="3">
        <v>100</v>
      </c>
      <c r="N106" s="3"/>
      <c r="O106" s="3">
        <v>182</v>
      </c>
      <c r="P106" s="3"/>
      <c r="Q106" s="3">
        <v>911</v>
      </c>
      <c r="R106" s="4">
        <v>4.04</v>
      </c>
      <c r="S106" s="6">
        <f>GlowNestSocialTable3[[#This Row],[Link Clicks]]/GlowNestSocialTable3[[#This Row],[Reach]]</f>
        <v>8.0731014904187361E-3</v>
      </c>
    </row>
    <row r="107" spans="1:19">
      <c r="A107" t="s">
        <v>139</v>
      </c>
      <c r="B107" s="2">
        <v>45719</v>
      </c>
      <c r="C107" t="s">
        <v>36</v>
      </c>
      <c r="D107" t="s">
        <v>20</v>
      </c>
      <c r="E107" t="s">
        <v>21</v>
      </c>
      <c r="F107" t="s">
        <v>22</v>
      </c>
      <c r="G107" t="s">
        <v>23</v>
      </c>
      <c r="H107" s="3">
        <v>82556</v>
      </c>
      <c r="I107" s="3">
        <v>69304</v>
      </c>
      <c r="J107" s="3">
        <v>48468</v>
      </c>
      <c r="K107" s="3">
        <v>1213</v>
      </c>
      <c r="L107" s="3">
        <v>131</v>
      </c>
      <c r="M107" s="3">
        <v>140</v>
      </c>
      <c r="N107" s="3">
        <v>214</v>
      </c>
      <c r="O107" s="3">
        <v>212</v>
      </c>
      <c r="P107" s="3">
        <v>26725</v>
      </c>
      <c r="Q107" s="3">
        <v>1698</v>
      </c>
      <c r="R107" s="4">
        <v>3.5</v>
      </c>
      <c r="S107" s="6">
        <f>GlowNestSocialTable3[[#This Row],[Link Clicks]]/GlowNestSocialTable3[[#This Row],[Reach]]</f>
        <v>4.3740199719402495E-3</v>
      </c>
    </row>
    <row r="108" spans="1:19">
      <c r="A108" t="s">
        <v>140</v>
      </c>
      <c r="B108" s="2">
        <v>45719</v>
      </c>
      <c r="C108" t="s">
        <v>36</v>
      </c>
      <c r="D108" t="s">
        <v>30</v>
      </c>
      <c r="E108" t="s">
        <v>25</v>
      </c>
      <c r="F108" t="s">
        <v>22</v>
      </c>
      <c r="G108" t="s">
        <v>23</v>
      </c>
      <c r="H108" s="3">
        <v>83344</v>
      </c>
      <c r="I108" s="3">
        <v>44908</v>
      </c>
      <c r="J108" s="3">
        <v>36861</v>
      </c>
      <c r="K108" s="3">
        <v>321</v>
      </c>
      <c r="L108" s="3">
        <v>46</v>
      </c>
      <c r="M108" s="3">
        <v>41</v>
      </c>
      <c r="N108" s="3">
        <v>19</v>
      </c>
      <c r="O108" s="3">
        <v>136</v>
      </c>
      <c r="P108" s="3"/>
      <c r="Q108" s="3">
        <v>427</v>
      </c>
      <c r="R108" s="4">
        <v>1.1599999999999999</v>
      </c>
      <c r="S108" s="6">
        <f>GlowNestSocialTable3[[#This Row],[Link Clicks]]/GlowNestSocialTable3[[#This Row],[Reach]]</f>
        <v>3.689536366349258E-3</v>
      </c>
    </row>
    <row r="109" spans="1:19">
      <c r="A109" t="s">
        <v>141</v>
      </c>
      <c r="B109" s="2">
        <v>45720</v>
      </c>
      <c r="C109" t="s">
        <v>19</v>
      </c>
      <c r="D109" t="s">
        <v>20</v>
      </c>
      <c r="E109" t="s">
        <v>25</v>
      </c>
      <c r="F109" t="s">
        <v>28</v>
      </c>
      <c r="G109" t="s">
        <v>23</v>
      </c>
      <c r="H109" s="3">
        <v>69151</v>
      </c>
      <c r="I109" s="3">
        <v>36118</v>
      </c>
      <c r="J109" s="3">
        <v>24730</v>
      </c>
      <c r="K109" s="3">
        <v>864</v>
      </c>
      <c r="L109" s="3">
        <v>121</v>
      </c>
      <c r="M109" s="3">
        <v>160</v>
      </c>
      <c r="N109" s="3">
        <v>212</v>
      </c>
      <c r="O109" s="3">
        <v>270</v>
      </c>
      <c r="P109" s="3">
        <v>19672</v>
      </c>
      <c r="Q109" s="3">
        <v>1357</v>
      </c>
      <c r="R109" s="4">
        <v>5.49</v>
      </c>
      <c r="S109" s="6">
        <f>GlowNestSocialTable3[[#This Row],[Link Clicks]]/GlowNestSocialTable3[[#This Row],[Reach]]</f>
        <v>1.0917913465426607E-2</v>
      </c>
    </row>
    <row r="110" spans="1:19">
      <c r="A110" t="s">
        <v>142</v>
      </c>
      <c r="B110" s="2">
        <v>45721</v>
      </c>
      <c r="C110" t="s">
        <v>19</v>
      </c>
      <c r="D110" t="s">
        <v>20</v>
      </c>
      <c r="E110" t="s">
        <v>25</v>
      </c>
      <c r="F110" t="s">
        <v>31</v>
      </c>
      <c r="G110" t="s">
        <v>23</v>
      </c>
      <c r="H110" s="3">
        <v>69109</v>
      </c>
      <c r="I110" s="3">
        <v>29762</v>
      </c>
      <c r="J110" s="3">
        <v>26455</v>
      </c>
      <c r="K110" s="3">
        <v>807</v>
      </c>
      <c r="L110" s="3">
        <v>158</v>
      </c>
      <c r="M110" s="3">
        <v>81</v>
      </c>
      <c r="N110" s="3">
        <v>197</v>
      </c>
      <c r="O110" s="3">
        <v>178</v>
      </c>
      <c r="P110" s="3">
        <v>17762</v>
      </c>
      <c r="Q110" s="3">
        <v>1243</v>
      </c>
      <c r="R110" s="4">
        <v>4.7</v>
      </c>
      <c r="S110" s="6">
        <f>GlowNestSocialTable3[[#This Row],[Link Clicks]]/GlowNestSocialTable3[[#This Row],[Reach]]</f>
        <v>6.7284067284067283E-3</v>
      </c>
    </row>
    <row r="111" spans="1:19">
      <c r="A111" t="s">
        <v>143</v>
      </c>
      <c r="B111" s="2">
        <v>45721</v>
      </c>
      <c r="C111" t="s">
        <v>19</v>
      </c>
      <c r="D111" t="s">
        <v>30</v>
      </c>
      <c r="E111" t="s">
        <v>49</v>
      </c>
      <c r="F111" t="s">
        <v>22</v>
      </c>
      <c r="G111" t="s">
        <v>23</v>
      </c>
      <c r="H111" s="3">
        <v>68556</v>
      </c>
      <c r="I111" s="3">
        <v>22195</v>
      </c>
      <c r="J111" s="3">
        <v>17981</v>
      </c>
      <c r="K111" s="3">
        <v>585</v>
      </c>
      <c r="L111" s="3">
        <v>90</v>
      </c>
      <c r="M111" s="3">
        <v>100</v>
      </c>
      <c r="N111" s="3">
        <v>82</v>
      </c>
      <c r="O111" s="3">
        <v>169</v>
      </c>
      <c r="P111" s="3"/>
      <c r="Q111" s="3">
        <v>857</v>
      </c>
      <c r="R111" s="4">
        <v>4.7699999999999996</v>
      </c>
      <c r="S111" s="6">
        <f>GlowNestSocialTable3[[#This Row],[Link Clicks]]/GlowNestSocialTable3[[#This Row],[Reach]]</f>
        <v>9.3988098548467829E-3</v>
      </c>
    </row>
    <row r="112" spans="1:19">
      <c r="A112" t="s">
        <v>144</v>
      </c>
      <c r="B112" s="2">
        <v>45722</v>
      </c>
      <c r="C112" t="s">
        <v>19</v>
      </c>
      <c r="D112" t="s">
        <v>37</v>
      </c>
      <c r="E112" t="s">
        <v>21</v>
      </c>
      <c r="F112" t="s">
        <v>42</v>
      </c>
      <c r="G112" t="s">
        <v>38</v>
      </c>
      <c r="H112" s="3">
        <v>71483</v>
      </c>
      <c r="I112" s="3">
        <v>53522</v>
      </c>
      <c r="J112" s="3">
        <v>36855</v>
      </c>
      <c r="K112" s="3">
        <v>1441</v>
      </c>
      <c r="L112" s="3">
        <v>202</v>
      </c>
      <c r="M112" s="3">
        <v>238</v>
      </c>
      <c r="N112" s="3">
        <v>292</v>
      </c>
      <c r="O112" s="3">
        <v>501</v>
      </c>
      <c r="P112" s="3"/>
      <c r="Q112" s="3">
        <v>2173</v>
      </c>
      <c r="R112" s="4">
        <v>5.9</v>
      </c>
      <c r="S112" s="6">
        <f>GlowNestSocialTable3[[#This Row],[Link Clicks]]/GlowNestSocialTable3[[#This Row],[Reach]]</f>
        <v>1.3593813593813594E-2</v>
      </c>
    </row>
    <row r="113" spans="1:19">
      <c r="A113" t="s">
        <v>145</v>
      </c>
      <c r="B113" s="2">
        <v>45723</v>
      </c>
      <c r="C113" t="s">
        <v>19</v>
      </c>
      <c r="D113" t="s">
        <v>37</v>
      </c>
      <c r="E113" t="s">
        <v>25</v>
      </c>
      <c r="F113" t="s">
        <v>31</v>
      </c>
      <c r="G113" t="s">
        <v>23</v>
      </c>
      <c r="H113" s="3">
        <v>69339</v>
      </c>
      <c r="I113" s="3">
        <v>32389</v>
      </c>
      <c r="J113" s="3">
        <v>25908</v>
      </c>
      <c r="K113" s="3">
        <v>595</v>
      </c>
      <c r="L113" s="3">
        <v>64</v>
      </c>
      <c r="M113" s="3">
        <v>88</v>
      </c>
      <c r="N113" s="3">
        <v>93</v>
      </c>
      <c r="O113" s="3">
        <v>195</v>
      </c>
      <c r="P113" s="3"/>
      <c r="Q113" s="3">
        <v>840</v>
      </c>
      <c r="R113" s="4">
        <v>3.24</v>
      </c>
      <c r="S113" s="6">
        <f>GlowNestSocialTable3[[#This Row],[Link Clicks]]/GlowNestSocialTable3[[#This Row],[Reach]]</f>
        <v>7.5266327003242241E-3</v>
      </c>
    </row>
    <row r="114" spans="1:19">
      <c r="A114" t="s">
        <v>146</v>
      </c>
      <c r="B114" s="2">
        <v>45723</v>
      </c>
      <c r="C114" t="s">
        <v>33</v>
      </c>
      <c r="D114" t="s">
        <v>34</v>
      </c>
      <c r="E114" t="s">
        <v>25</v>
      </c>
      <c r="F114" t="s">
        <v>42</v>
      </c>
      <c r="G114" t="s">
        <v>23</v>
      </c>
      <c r="H114" s="3">
        <v>35040</v>
      </c>
      <c r="I114" s="3">
        <v>10021</v>
      </c>
      <c r="J114" s="3">
        <v>8491</v>
      </c>
      <c r="K114" s="3">
        <v>127</v>
      </c>
      <c r="L114" s="3">
        <v>20</v>
      </c>
      <c r="M114" s="3">
        <v>19</v>
      </c>
      <c r="N114" s="3">
        <v>3</v>
      </c>
      <c r="O114" s="3">
        <v>121</v>
      </c>
      <c r="P114" s="3"/>
      <c r="Q114" s="3">
        <v>169</v>
      </c>
      <c r="R114" s="4">
        <v>1.99</v>
      </c>
      <c r="S114" s="6">
        <f>GlowNestSocialTable3[[#This Row],[Link Clicks]]/GlowNestSocialTable3[[#This Row],[Reach]]</f>
        <v>1.425038275821458E-2</v>
      </c>
    </row>
    <row r="115" spans="1:19">
      <c r="A115" t="s">
        <v>147</v>
      </c>
      <c r="B115" s="2">
        <v>45724</v>
      </c>
      <c r="C115" t="s">
        <v>19</v>
      </c>
      <c r="D115" t="s">
        <v>37</v>
      </c>
      <c r="E115" t="s">
        <v>49</v>
      </c>
      <c r="F115" t="s">
        <v>44</v>
      </c>
      <c r="G115" t="s">
        <v>23</v>
      </c>
      <c r="H115" s="3">
        <v>70059</v>
      </c>
      <c r="I115" s="3">
        <v>33316</v>
      </c>
      <c r="J115" s="3">
        <v>22647</v>
      </c>
      <c r="K115" s="3">
        <v>952</v>
      </c>
      <c r="L115" s="3">
        <v>152</v>
      </c>
      <c r="M115" s="3">
        <v>116</v>
      </c>
      <c r="N115" s="3">
        <v>205</v>
      </c>
      <c r="O115" s="3">
        <v>244</v>
      </c>
      <c r="P115" s="3"/>
      <c r="Q115" s="3">
        <v>1425</v>
      </c>
      <c r="R115" s="4">
        <v>6.29</v>
      </c>
      <c r="S115" s="6">
        <f>GlowNestSocialTable3[[#This Row],[Link Clicks]]/GlowNestSocialTable3[[#This Row],[Reach]]</f>
        <v>1.0774053958581711E-2</v>
      </c>
    </row>
    <row r="116" spans="1:19">
      <c r="A116" t="s">
        <v>148</v>
      </c>
      <c r="B116" s="2">
        <v>45724</v>
      </c>
      <c r="C116" t="s">
        <v>36</v>
      </c>
      <c r="D116" t="s">
        <v>30</v>
      </c>
      <c r="E116" t="s">
        <v>27</v>
      </c>
      <c r="F116" t="s">
        <v>22</v>
      </c>
      <c r="G116" t="s">
        <v>23</v>
      </c>
      <c r="H116" s="3">
        <v>84206</v>
      </c>
      <c r="I116" s="3">
        <v>42591</v>
      </c>
      <c r="J116" s="3">
        <v>34862</v>
      </c>
      <c r="K116" s="3">
        <v>611</v>
      </c>
      <c r="L116" s="3">
        <v>73</v>
      </c>
      <c r="M116" s="3">
        <v>82</v>
      </c>
      <c r="N116" s="3">
        <v>110</v>
      </c>
      <c r="O116" s="3">
        <v>166</v>
      </c>
      <c r="P116" s="3"/>
      <c r="Q116" s="3">
        <v>876</v>
      </c>
      <c r="R116" s="4">
        <v>2.5099999999999998</v>
      </c>
      <c r="S116" s="6">
        <f>GlowNestSocialTable3[[#This Row],[Link Clicks]]/GlowNestSocialTable3[[#This Row],[Reach]]</f>
        <v>4.7616315759279448E-3</v>
      </c>
    </row>
    <row r="117" spans="1:19">
      <c r="A117" t="s">
        <v>149</v>
      </c>
      <c r="B117" s="2">
        <v>45725</v>
      </c>
      <c r="C117" t="s">
        <v>36</v>
      </c>
      <c r="D117" t="s">
        <v>34</v>
      </c>
      <c r="E117" t="s">
        <v>21</v>
      </c>
      <c r="F117" t="s">
        <v>22</v>
      </c>
      <c r="G117" t="s">
        <v>23</v>
      </c>
      <c r="H117" s="3">
        <v>83026</v>
      </c>
      <c r="I117" s="3">
        <v>37174</v>
      </c>
      <c r="J117" s="3">
        <v>27174</v>
      </c>
      <c r="K117" s="3">
        <v>350</v>
      </c>
      <c r="L117" s="3">
        <v>46</v>
      </c>
      <c r="M117" s="3">
        <v>47</v>
      </c>
      <c r="N117" s="3">
        <v>58</v>
      </c>
      <c r="O117" s="3">
        <v>174</v>
      </c>
      <c r="P117" s="3"/>
      <c r="Q117" s="3">
        <v>501</v>
      </c>
      <c r="R117" s="4">
        <v>1.84</v>
      </c>
      <c r="S117" s="6">
        <f>GlowNestSocialTable3[[#This Row],[Link Clicks]]/GlowNestSocialTable3[[#This Row],[Reach]]</f>
        <v>6.4031795098255682E-3</v>
      </c>
    </row>
    <row r="118" spans="1:19">
      <c r="A118" t="s">
        <v>150</v>
      </c>
      <c r="B118" s="2">
        <v>45726</v>
      </c>
      <c r="C118" t="s">
        <v>19</v>
      </c>
      <c r="D118" t="s">
        <v>20</v>
      </c>
      <c r="E118" t="s">
        <v>25</v>
      </c>
      <c r="F118" t="s">
        <v>31</v>
      </c>
      <c r="G118" t="s">
        <v>23</v>
      </c>
      <c r="H118" s="3">
        <v>70456</v>
      </c>
      <c r="I118" s="3">
        <v>32335</v>
      </c>
      <c r="J118" s="3">
        <v>29433</v>
      </c>
      <c r="K118" s="3">
        <v>871</v>
      </c>
      <c r="L118" s="3">
        <v>98</v>
      </c>
      <c r="M118" s="3">
        <v>121</v>
      </c>
      <c r="N118" s="3">
        <v>80</v>
      </c>
      <c r="O118" s="3">
        <v>254</v>
      </c>
      <c r="P118" s="3">
        <v>18996</v>
      </c>
      <c r="Q118" s="3">
        <v>1170</v>
      </c>
      <c r="R118" s="4">
        <v>3.98</v>
      </c>
      <c r="S118" s="6">
        <f>GlowNestSocialTable3[[#This Row],[Link Clicks]]/GlowNestSocialTable3[[#This Row],[Reach]]</f>
        <v>8.6297693065606629E-3</v>
      </c>
    </row>
    <row r="119" spans="1:19">
      <c r="A119" t="s">
        <v>151</v>
      </c>
      <c r="B119" s="2">
        <v>45726</v>
      </c>
      <c r="C119" t="s">
        <v>19</v>
      </c>
      <c r="D119" t="s">
        <v>20</v>
      </c>
      <c r="E119" t="s">
        <v>49</v>
      </c>
      <c r="F119" t="s">
        <v>28</v>
      </c>
      <c r="G119" t="s">
        <v>23</v>
      </c>
      <c r="H119" s="3">
        <v>70760</v>
      </c>
      <c r="I119" s="3">
        <v>30083</v>
      </c>
      <c r="J119" s="3">
        <v>24559</v>
      </c>
      <c r="K119" s="3">
        <v>1160</v>
      </c>
      <c r="L119" s="3">
        <v>159</v>
      </c>
      <c r="M119" s="3">
        <v>153</v>
      </c>
      <c r="N119" s="3">
        <v>212</v>
      </c>
      <c r="O119" s="3">
        <v>159</v>
      </c>
      <c r="P119" s="3">
        <v>20823</v>
      </c>
      <c r="Q119" s="3">
        <v>1684</v>
      </c>
      <c r="R119" s="4">
        <v>6.86</v>
      </c>
      <c r="S119" s="6">
        <f>GlowNestSocialTable3[[#This Row],[Link Clicks]]/GlowNestSocialTable3[[#This Row],[Reach]]</f>
        <v>6.4742049757726293E-3</v>
      </c>
    </row>
    <row r="120" spans="1:19">
      <c r="A120" t="s">
        <v>152</v>
      </c>
      <c r="B120" s="2">
        <v>45727</v>
      </c>
      <c r="C120" t="s">
        <v>36</v>
      </c>
      <c r="D120" t="s">
        <v>37</v>
      </c>
      <c r="E120" t="s">
        <v>49</v>
      </c>
      <c r="F120" t="s">
        <v>28</v>
      </c>
      <c r="G120" t="s">
        <v>23</v>
      </c>
      <c r="H120" s="3">
        <v>85847</v>
      </c>
      <c r="I120" s="3">
        <v>51376</v>
      </c>
      <c r="J120" s="3">
        <v>33402</v>
      </c>
      <c r="K120" s="3">
        <v>706</v>
      </c>
      <c r="L120" s="3">
        <v>80</v>
      </c>
      <c r="M120" s="3">
        <v>77</v>
      </c>
      <c r="N120" s="3">
        <v>172</v>
      </c>
      <c r="O120" s="3">
        <v>170</v>
      </c>
      <c r="P120" s="3"/>
      <c r="Q120" s="3">
        <v>1035</v>
      </c>
      <c r="R120" s="4">
        <v>3.1</v>
      </c>
      <c r="S120" s="6">
        <f>GlowNestSocialTable3[[#This Row],[Link Clicks]]/GlowNestSocialTable3[[#This Row],[Reach]]</f>
        <v>5.0895155978683913E-3</v>
      </c>
    </row>
    <row r="121" spans="1:19">
      <c r="A121" t="s">
        <v>153</v>
      </c>
      <c r="B121" s="2">
        <v>45727</v>
      </c>
      <c r="C121" t="s">
        <v>36</v>
      </c>
      <c r="D121" t="s">
        <v>20</v>
      </c>
      <c r="E121" t="s">
        <v>21</v>
      </c>
      <c r="F121" t="s">
        <v>28</v>
      </c>
      <c r="G121" t="s">
        <v>38</v>
      </c>
      <c r="H121" s="3">
        <v>83321</v>
      </c>
      <c r="I121" s="3">
        <v>83931</v>
      </c>
      <c r="J121" s="3">
        <v>61290</v>
      </c>
      <c r="K121" s="3">
        <v>1142</v>
      </c>
      <c r="L121" s="3">
        <v>157</v>
      </c>
      <c r="M121" s="3">
        <v>103</v>
      </c>
      <c r="N121" s="3">
        <v>456</v>
      </c>
      <c r="O121" s="3">
        <v>281</v>
      </c>
      <c r="P121" s="3">
        <v>40524</v>
      </c>
      <c r="Q121" s="3">
        <v>1858</v>
      </c>
      <c r="R121" s="4">
        <v>3.03</v>
      </c>
      <c r="S121" s="6">
        <f>GlowNestSocialTable3[[#This Row],[Link Clicks]]/GlowNestSocialTable3[[#This Row],[Reach]]</f>
        <v>4.5847609724261711E-3</v>
      </c>
    </row>
    <row r="122" spans="1:19">
      <c r="A122" t="s">
        <v>154</v>
      </c>
      <c r="B122" s="2">
        <v>45728</v>
      </c>
      <c r="C122" t="s">
        <v>19</v>
      </c>
      <c r="D122" t="s">
        <v>34</v>
      </c>
      <c r="E122" t="s">
        <v>25</v>
      </c>
      <c r="F122" t="s">
        <v>44</v>
      </c>
      <c r="G122" t="s">
        <v>23</v>
      </c>
      <c r="H122" s="3">
        <v>72480</v>
      </c>
      <c r="I122" s="3">
        <v>18764</v>
      </c>
      <c r="J122" s="3">
        <v>16780</v>
      </c>
      <c r="K122" s="3">
        <v>267</v>
      </c>
      <c r="L122" s="3">
        <v>47</v>
      </c>
      <c r="M122" s="3">
        <v>36</v>
      </c>
      <c r="N122" s="3">
        <v>14</v>
      </c>
      <c r="O122" s="3">
        <v>174</v>
      </c>
      <c r="P122" s="3"/>
      <c r="Q122" s="3">
        <v>364</v>
      </c>
      <c r="R122" s="4">
        <v>2.17</v>
      </c>
      <c r="S122" s="6">
        <f>GlowNestSocialTable3[[#This Row],[Link Clicks]]/GlowNestSocialTable3[[#This Row],[Reach]]</f>
        <v>1.0369487485101312E-2</v>
      </c>
    </row>
    <row r="123" spans="1:19">
      <c r="A123" t="s">
        <v>155</v>
      </c>
      <c r="B123" s="2">
        <v>45729</v>
      </c>
      <c r="C123" t="s">
        <v>36</v>
      </c>
      <c r="D123" t="s">
        <v>37</v>
      </c>
      <c r="E123" t="s">
        <v>21</v>
      </c>
      <c r="F123" t="s">
        <v>42</v>
      </c>
      <c r="G123" t="s">
        <v>23</v>
      </c>
      <c r="H123" s="3">
        <v>85585</v>
      </c>
      <c r="I123" s="3">
        <v>43825</v>
      </c>
      <c r="J123" s="3">
        <v>40401</v>
      </c>
      <c r="K123" s="3">
        <v>858</v>
      </c>
      <c r="L123" s="3">
        <v>114</v>
      </c>
      <c r="M123" s="3">
        <v>89</v>
      </c>
      <c r="N123" s="3">
        <v>263</v>
      </c>
      <c r="O123" s="3">
        <v>162</v>
      </c>
      <c r="P123" s="3"/>
      <c r="Q123" s="3">
        <v>1324</v>
      </c>
      <c r="R123" s="4">
        <v>3.28</v>
      </c>
      <c r="S123" s="6">
        <f>GlowNestSocialTable3[[#This Row],[Link Clicks]]/GlowNestSocialTable3[[#This Row],[Reach]]</f>
        <v>4.0098017375807529E-3</v>
      </c>
    </row>
    <row r="124" spans="1:19">
      <c r="A124" t="s">
        <v>156</v>
      </c>
      <c r="B124" s="2">
        <v>45729</v>
      </c>
      <c r="C124" t="s">
        <v>33</v>
      </c>
      <c r="D124" t="s">
        <v>30</v>
      </c>
      <c r="E124" t="s">
        <v>27</v>
      </c>
      <c r="F124" t="s">
        <v>28</v>
      </c>
      <c r="G124" t="s">
        <v>23</v>
      </c>
      <c r="H124" s="3">
        <v>33140</v>
      </c>
      <c r="I124" s="3">
        <v>12276</v>
      </c>
      <c r="J124" s="3">
        <v>8117</v>
      </c>
      <c r="K124" s="3">
        <v>198</v>
      </c>
      <c r="L124" s="3">
        <v>24</v>
      </c>
      <c r="M124" s="3">
        <v>26</v>
      </c>
      <c r="N124" s="3">
        <v>23</v>
      </c>
      <c r="O124" s="3">
        <v>106</v>
      </c>
      <c r="P124" s="3"/>
      <c r="Q124" s="3">
        <v>271</v>
      </c>
      <c r="R124" s="4">
        <v>3.34</v>
      </c>
      <c r="S124" s="6">
        <f>GlowNestSocialTable3[[#This Row],[Link Clicks]]/GlowNestSocialTable3[[#This Row],[Reach]]</f>
        <v>1.3059011950227916E-2</v>
      </c>
    </row>
    <row r="125" spans="1:19">
      <c r="A125" t="s">
        <v>157</v>
      </c>
      <c r="B125" s="2">
        <v>45730</v>
      </c>
      <c r="C125" t="s">
        <v>19</v>
      </c>
      <c r="D125" t="s">
        <v>20</v>
      </c>
      <c r="E125" t="s">
        <v>25</v>
      </c>
      <c r="F125" t="s">
        <v>28</v>
      </c>
      <c r="G125" t="s">
        <v>23</v>
      </c>
      <c r="H125" s="3">
        <v>67034</v>
      </c>
      <c r="I125" s="3">
        <v>41107</v>
      </c>
      <c r="J125" s="3">
        <v>34831</v>
      </c>
      <c r="K125" s="3">
        <v>1276</v>
      </c>
      <c r="L125" s="3">
        <v>138</v>
      </c>
      <c r="M125" s="3">
        <v>127</v>
      </c>
      <c r="N125" s="3">
        <v>131</v>
      </c>
      <c r="O125" s="3">
        <v>300</v>
      </c>
      <c r="P125" s="3">
        <v>24050</v>
      </c>
      <c r="Q125" s="3">
        <v>1672</v>
      </c>
      <c r="R125" s="4">
        <v>4.8</v>
      </c>
      <c r="S125" s="6">
        <f>GlowNestSocialTable3[[#This Row],[Link Clicks]]/GlowNestSocialTable3[[#This Row],[Reach]]</f>
        <v>8.613017139904108E-3</v>
      </c>
    </row>
    <row r="126" spans="1:19">
      <c r="A126" t="s">
        <v>158</v>
      </c>
      <c r="B126" s="2">
        <v>45730</v>
      </c>
      <c r="C126" t="s">
        <v>33</v>
      </c>
      <c r="D126" t="s">
        <v>34</v>
      </c>
      <c r="E126" t="s">
        <v>49</v>
      </c>
      <c r="F126" t="s">
        <v>42</v>
      </c>
      <c r="G126" t="s">
        <v>23</v>
      </c>
      <c r="H126" s="3">
        <v>34414</v>
      </c>
      <c r="I126" s="3">
        <v>6942</v>
      </c>
      <c r="J126" s="3">
        <v>6056</v>
      </c>
      <c r="K126" s="3">
        <v>112</v>
      </c>
      <c r="L126" s="3">
        <v>19</v>
      </c>
      <c r="M126" s="3">
        <v>12</v>
      </c>
      <c r="N126" s="3">
        <v>11</v>
      </c>
      <c r="O126" s="3">
        <v>58</v>
      </c>
      <c r="P126" s="3"/>
      <c r="Q126" s="3">
        <v>154</v>
      </c>
      <c r="R126" s="4">
        <v>2.54</v>
      </c>
      <c r="S126" s="6">
        <f>GlowNestSocialTable3[[#This Row],[Link Clicks]]/GlowNestSocialTable3[[#This Row],[Reach]]</f>
        <v>9.5772787318361956E-3</v>
      </c>
    </row>
    <row r="127" spans="1:19">
      <c r="A127" t="s">
        <v>159</v>
      </c>
      <c r="B127" s="2">
        <v>45731</v>
      </c>
      <c r="C127" t="s">
        <v>19</v>
      </c>
      <c r="D127" t="s">
        <v>30</v>
      </c>
      <c r="E127" t="s">
        <v>49</v>
      </c>
      <c r="F127" t="s">
        <v>44</v>
      </c>
      <c r="G127" t="s">
        <v>38</v>
      </c>
      <c r="H127" s="3">
        <v>70602</v>
      </c>
      <c r="I127" s="3">
        <v>53558</v>
      </c>
      <c r="J127" s="3">
        <v>39695</v>
      </c>
      <c r="K127" s="3">
        <v>1112</v>
      </c>
      <c r="L127" s="3">
        <v>105</v>
      </c>
      <c r="M127" s="3">
        <v>102</v>
      </c>
      <c r="N127" s="3">
        <v>110</v>
      </c>
      <c r="O127" s="3">
        <v>360</v>
      </c>
      <c r="P127" s="3"/>
      <c r="Q127" s="3">
        <v>1429</v>
      </c>
      <c r="R127" s="4">
        <v>3.6</v>
      </c>
      <c r="S127" s="6">
        <f>GlowNestSocialTable3[[#This Row],[Link Clicks]]/GlowNestSocialTable3[[#This Row],[Reach]]</f>
        <v>9.0691522861821392E-3</v>
      </c>
    </row>
    <row r="128" spans="1:19">
      <c r="A128" t="s">
        <v>160</v>
      </c>
      <c r="B128" s="2">
        <v>45732</v>
      </c>
      <c r="C128" t="s">
        <v>36</v>
      </c>
      <c r="D128" t="s">
        <v>37</v>
      </c>
      <c r="E128" t="s">
        <v>25</v>
      </c>
      <c r="F128" t="s">
        <v>44</v>
      </c>
      <c r="G128" t="s">
        <v>23</v>
      </c>
      <c r="H128" s="3">
        <v>87401</v>
      </c>
      <c r="I128" s="3">
        <v>68942</v>
      </c>
      <c r="J128" s="3">
        <v>47434</v>
      </c>
      <c r="K128" s="3">
        <v>555</v>
      </c>
      <c r="L128" s="3">
        <v>90</v>
      </c>
      <c r="M128" s="3">
        <v>87</v>
      </c>
      <c r="N128" s="3">
        <v>39</v>
      </c>
      <c r="O128" s="3">
        <v>219</v>
      </c>
      <c r="P128" s="3"/>
      <c r="Q128" s="3">
        <v>771</v>
      </c>
      <c r="R128" s="4">
        <v>1.63</v>
      </c>
      <c r="S128" s="6">
        <f>GlowNestSocialTable3[[#This Row],[Link Clicks]]/GlowNestSocialTable3[[#This Row],[Reach]]</f>
        <v>4.6169414344141334E-3</v>
      </c>
    </row>
    <row r="129" spans="1:19">
      <c r="A129" t="s">
        <v>161</v>
      </c>
      <c r="B129" s="2">
        <v>45732</v>
      </c>
      <c r="C129" t="s">
        <v>36</v>
      </c>
      <c r="D129" t="s">
        <v>37</v>
      </c>
      <c r="E129" t="s">
        <v>27</v>
      </c>
      <c r="F129" t="s">
        <v>31</v>
      </c>
      <c r="G129" t="s">
        <v>23</v>
      </c>
      <c r="H129" s="3">
        <v>84803</v>
      </c>
      <c r="I129" s="3">
        <v>65605</v>
      </c>
      <c r="J129" s="3">
        <v>45628</v>
      </c>
      <c r="K129" s="3">
        <v>1184</v>
      </c>
      <c r="L129" s="3">
        <v>146</v>
      </c>
      <c r="M129" s="3">
        <v>110</v>
      </c>
      <c r="N129" s="3">
        <v>289</v>
      </c>
      <c r="O129" s="3">
        <v>258</v>
      </c>
      <c r="P129" s="3"/>
      <c r="Q129" s="3">
        <v>1729</v>
      </c>
      <c r="R129" s="4">
        <v>3.79</v>
      </c>
      <c r="S129" s="6">
        <f>GlowNestSocialTable3[[#This Row],[Link Clicks]]/GlowNestSocialTable3[[#This Row],[Reach]]</f>
        <v>5.6544227228894541E-3</v>
      </c>
    </row>
    <row r="130" spans="1:19">
      <c r="A130" t="s">
        <v>162</v>
      </c>
      <c r="B130" s="2">
        <v>45733</v>
      </c>
      <c r="C130" t="s">
        <v>19</v>
      </c>
      <c r="D130" t="s">
        <v>34</v>
      </c>
      <c r="E130" t="s">
        <v>25</v>
      </c>
      <c r="F130" t="s">
        <v>42</v>
      </c>
      <c r="G130" t="s">
        <v>38</v>
      </c>
      <c r="H130" s="3">
        <v>68434</v>
      </c>
      <c r="I130" s="3">
        <v>44003</v>
      </c>
      <c r="J130" s="3">
        <v>29888</v>
      </c>
      <c r="K130" s="3">
        <v>486</v>
      </c>
      <c r="L130" s="3">
        <v>57</v>
      </c>
      <c r="M130" s="3">
        <v>55</v>
      </c>
      <c r="N130" s="3">
        <v>26</v>
      </c>
      <c r="O130" s="3">
        <v>306</v>
      </c>
      <c r="P130" s="3"/>
      <c r="Q130" s="3">
        <v>624</v>
      </c>
      <c r="R130" s="4">
        <v>2.09</v>
      </c>
      <c r="S130" s="6">
        <f>GlowNestSocialTable3[[#This Row],[Link Clicks]]/GlowNestSocialTable3[[#This Row],[Reach]]</f>
        <v>1.0238222698072804E-2</v>
      </c>
    </row>
    <row r="131" spans="1:19">
      <c r="A131" t="s">
        <v>163</v>
      </c>
      <c r="B131" s="2">
        <v>45733</v>
      </c>
      <c r="C131" t="s">
        <v>36</v>
      </c>
      <c r="D131" t="s">
        <v>30</v>
      </c>
      <c r="E131" t="s">
        <v>46</v>
      </c>
      <c r="F131" t="s">
        <v>42</v>
      </c>
      <c r="G131" t="s">
        <v>38</v>
      </c>
      <c r="H131" s="3">
        <v>82123</v>
      </c>
      <c r="I131" s="3">
        <v>65879</v>
      </c>
      <c r="J131" s="3">
        <v>50953</v>
      </c>
      <c r="K131" s="3">
        <v>686</v>
      </c>
      <c r="L131" s="3">
        <v>98</v>
      </c>
      <c r="M131" s="3">
        <v>105</v>
      </c>
      <c r="N131" s="3">
        <v>68</v>
      </c>
      <c r="O131" s="3">
        <v>294</v>
      </c>
      <c r="P131" s="3"/>
      <c r="Q131" s="3">
        <v>957</v>
      </c>
      <c r="R131" s="4">
        <v>1.88</v>
      </c>
      <c r="S131" s="6">
        <f>GlowNestSocialTable3[[#This Row],[Link Clicks]]/GlowNestSocialTable3[[#This Row],[Reach]]</f>
        <v>5.7700233548564359E-3</v>
      </c>
    </row>
    <row r="132" spans="1:19">
      <c r="A132" t="s">
        <v>164</v>
      </c>
      <c r="B132" s="2">
        <v>45734</v>
      </c>
      <c r="C132" t="s">
        <v>19</v>
      </c>
      <c r="D132" t="s">
        <v>30</v>
      </c>
      <c r="E132" t="s">
        <v>27</v>
      </c>
      <c r="F132" t="s">
        <v>44</v>
      </c>
      <c r="G132" t="s">
        <v>23</v>
      </c>
      <c r="H132" s="3">
        <v>71604</v>
      </c>
      <c r="I132" s="3">
        <v>35641</v>
      </c>
      <c r="J132" s="3">
        <v>30697</v>
      </c>
      <c r="K132" s="3">
        <v>991</v>
      </c>
      <c r="L132" s="3">
        <v>119</v>
      </c>
      <c r="M132" s="3">
        <v>148</v>
      </c>
      <c r="N132" s="3">
        <v>234</v>
      </c>
      <c r="O132" s="3">
        <v>421</v>
      </c>
      <c r="P132" s="3"/>
      <c r="Q132" s="3">
        <v>1492</v>
      </c>
      <c r="R132" s="4">
        <v>4.8600000000000003</v>
      </c>
      <c r="S132" s="6">
        <f>GlowNestSocialTable3[[#This Row],[Link Clicks]]/GlowNestSocialTable3[[#This Row],[Reach]]</f>
        <v>1.371469524709255E-2</v>
      </c>
    </row>
    <row r="133" spans="1:19">
      <c r="A133" t="s">
        <v>165</v>
      </c>
      <c r="B133" s="2">
        <v>45735</v>
      </c>
      <c r="C133" t="s">
        <v>36</v>
      </c>
      <c r="D133" t="s">
        <v>20</v>
      </c>
      <c r="E133" t="s">
        <v>49</v>
      </c>
      <c r="F133" t="s">
        <v>31</v>
      </c>
      <c r="G133" t="s">
        <v>23</v>
      </c>
      <c r="H133" s="3">
        <v>81956</v>
      </c>
      <c r="I133" s="3">
        <v>70868</v>
      </c>
      <c r="J133" s="3">
        <v>52158</v>
      </c>
      <c r="K133" s="3">
        <v>1028</v>
      </c>
      <c r="L133" s="3">
        <v>194</v>
      </c>
      <c r="M133" s="3">
        <v>138</v>
      </c>
      <c r="N133" s="3">
        <v>282</v>
      </c>
      <c r="O133" s="3">
        <v>154</v>
      </c>
      <c r="P133" s="3">
        <v>41028</v>
      </c>
      <c r="Q133" s="3">
        <v>1642</v>
      </c>
      <c r="R133" s="4">
        <v>3.15</v>
      </c>
      <c r="S133" s="6">
        <f>GlowNestSocialTable3[[#This Row],[Link Clicks]]/GlowNestSocialTable3[[#This Row],[Reach]]</f>
        <v>2.952567199662564E-3</v>
      </c>
    </row>
    <row r="134" spans="1:19">
      <c r="A134" t="s">
        <v>166</v>
      </c>
      <c r="B134" s="2">
        <v>45735</v>
      </c>
      <c r="C134" t="s">
        <v>19</v>
      </c>
      <c r="D134" t="s">
        <v>20</v>
      </c>
      <c r="E134" t="s">
        <v>27</v>
      </c>
      <c r="F134" t="s">
        <v>42</v>
      </c>
      <c r="G134" t="s">
        <v>23</v>
      </c>
      <c r="H134" s="3">
        <v>69537</v>
      </c>
      <c r="I134" s="3">
        <v>35366</v>
      </c>
      <c r="J134" s="3">
        <v>29541</v>
      </c>
      <c r="K134" s="3">
        <v>1888</v>
      </c>
      <c r="L134" s="3">
        <v>278</v>
      </c>
      <c r="M134" s="3">
        <v>164</v>
      </c>
      <c r="N134" s="3">
        <v>436</v>
      </c>
      <c r="O134" s="3">
        <v>416</v>
      </c>
      <c r="P134" s="3">
        <v>22564</v>
      </c>
      <c r="Q134" s="3">
        <v>2766</v>
      </c>
      <c r="R134" s="4">
        <v>9.36</v>
      </c>
      <c r="S134" s="6">
        <f>GlowNestSocialTable3[[#This Row],[Link Clicks]]/GlowNestSocialTable3[[#This Row],[Reach]]</f>
        <v>1.4082123150875056E-2</v>
      </c>
    </row>
    <row r="135" spans="1:19">
      <c r="A135" t="s">
        <v>167</v>
      </c>
      <c r="B135" s="2">
        <v>45736</v>
      </c>
      <c r="C135" t="s">
        <v>36</v>
      </c>
      <c r="D135" t="s">
        <v>20</v>
      </c>
      <c r="E135" t="s">
        <v>49</v>
      </c>
      <c r="F135" t="s">
        <v>22</v>
      </c>
      <c r="G135" t="s">
        <v>38</v>
      </c>
      <c r="H135" s="3">
        <v>83552</v>
      </c>
      <c r="I135" s="3">
        <v>121493</v>
      </c>
      <c r="J135" s="3">
        <v>85379</v>
      </c>
      <c r="K135" s="3">
        <v>1444</v>
      </c>
      <c r="L135" s="3">
        <v>194</v>
      </c>
      <c r="M135" s="3">
        <v>229</v>
      </c>
      <c r="N135" s="3">
        <v>114</v>
      </c>
      <c r="O135" s="3">
        <v>398</v>
      </c>
      <c r="P135" s="3">
        <v>49546</v>
      </c>
      <c r="Q135" s="3">
        <v>1981</v>
      </c>
      <c r="R135" s="4">
        <v>2.3199999999999998</v>
      </c>
      <c r="S135" s="6">
        <f>GlowNestSocialTable3[[#This Row],[Link Clicks]]/GlowNestSocialTable3[[#This Row],[Reach]]</f>
        <v>4.6615678328394573E-3</v>
      </c>
    </row>
    <row r="136" spans="1:19">
      <c r="A136" t="s">
        <v>168</v>
      </c>
      <c r="B136" s="2">
        <v>45736</v>
      </c>
      <c r="C136" t="s">
        <v>33</v>
      </c>
      <c r="D136" t="s">
        <v>20</v>
      </c>
      <c r="E136" t="s">
        <v>46</v>
      </c>
      <c r="F136" t="s">
        <v>31</v>
      </c>
      <c r="G136" t="s">
        <v>23</v>
      </c>
      <c r="H136" s="3">
        <v>31664</v>
      </c>
      <c r="I136" s="3">
        <v>12930</v>
      </c>
      <c r="J136" s="3">
        <v>9115</v>
      </c>
      <c r="K136" s="3">
        <v>330</v>
      </c>
      <c r="L136" s="3">
        <v>56</v>
      </c>
      <c r="M136" s="3">
        <v>37</v>
      </c>
      <c r="N136" s="3">
        <v>110</v>
      </c>
      <c r="O136" s="3">
        <v>163</v>
      </c>
      <c r="P136" s="3">
        <v>6771</v>
      </c>
      <c r="Q136" s="3">
        <v>533</v>
      </c>
      <c r="R136" s="4">
        <v>5.85</v>
      </c>
      <c r="S136" s="6">
        <f>GlowNestSocialTable3[[#This Row],[Link Clicks]]/GlowNestSocialTable3[[#This Row],[Reach]]</f>
        <v>1.7882611080636313E-2</v>
      </c>
    </row>
    <row r="137" spans="1:19">
      <c r="A137" t="s">
        <v>169</v>
      </c>
      <c r="B137" s="2">
        <v>45737</v>
      </c>
      <c r="C137" t="s">
        <v>19</v>
      </c>
      <c r="D137" t="s">
        <v>34</v>
      </c>
      <c r="E137" t="s">
        <v>25</v>
      </c>
      <c r="F137" t="s">
        <v>31</v>
      </c>
      <c r="G137" t="s">
        <v>38</v>
      </c>
      <c r="H137" s="3">
        <v>69915</v>
      </c>
      <c r="I137" s="3">
        <v>41048</v>
      </c>
      <c r="J137" s="3">
        <v>37478</v>
      </c>
      <c r="K137" s="3">
        <v>513</v>
      </c>
      <c r="L137" s="3">
        <v>88</v>
      </c>
      <c r="M137" s="3">
        <v>68</v>
      </c>
      <c r="N137" s="3">
        <v>54</v>
      </c>
      <c r="O137" s="3">
        <v>438</v>
      </c>
      <c r="P137" s="3"/>
      <c r="Q137" s="3">
        <v>723</v>
      </c>
      <c r="R137" s="4">
        <v>1.93</v>
      </c>
      <c r="S137" s="6">
        <f>GlowNestSocialTable3[[#This Row],[Link Clicks]]/GlowNestSocialTable3[[#This Row],[Reach]]</f>
        <v>1.1686856289022893E-2</v>
      </c>
    </row>
    <row r="138" spans="1:19">
      <c r="A138" t="s">
        <v>170</v>
      </c>
      <c r="B138" s="2">
        <v>45738</v>
      </c>
      <c r="C138" t="s">
        <v>36</v>
      </c>
      <c r="D138" t="s">
        <v>30</v>
      </c>
      <c r="E138" t="s">
        <v>21</v>
      </c>
      <c r="F138" t="s">
        <v>22</v>
      </c>
      <c r="G138" t="s">
        <v>38</v>
      </c>
      <c r="H138" s="3">
        <v>83783</v>
      </c>
      <c r="I138" s="3">
        <v>77083</v>
      </c>
      <c r="J138" s="3">
        <v>62080</v>
      </c>
      <c r="K138" s="3">
        <v>901</v>
      </c>
      <c r="L138" s="3">
        <v>97</v>
      </c>
      <c r="M138" s="3">
        <v>125</v>
      </c>
      <c r="N138" s="3">
        <v>61</v>
      </c>
      <c r="O138" s="3">
        <v>242</v>
      </c>
      <c r="P138" s="3"/>
      <c r="Q138" s="3">
        <v>1184</v>
      </c>
      <c r="R138" s="4">
        <v>1.91</v>
      </c>
      <c r="S138" s="6">
        <f>GlowNestSocialTable3[[#This Row],[Link Clicks]]/GlowNestSocialTable3[[#This Row],[Reach]]</f>
        <v>3.8981958762886598E-3</v>
      </c>
    </row>
    <row r="139" spans="1:19">
      <c r="A139" t="s">
        <v>171</v>
      </c>
      <c r="B139" s="2">
        <v>45738</v>
      </c>
      <c r="C139" t="s">
        <v>19</v>
      </c>
      <c r="D139" t="s">
        <v>20</v>
      </c>
      <c r="E139" t="s">
        <v>25</v>
      </c>
      <c r="F139" t="s">
        <v>44</v>
      </c>
      <c r="G139" t="s">
        <v>23</v>
      </c>
      <c r="H139" s="3">
        <v>71012</v>
      </c>
      <c r="I139" s="3">
        <v>34187</v>
      </c>
      <c r="J139" s="3">
        <v>26548</v>
      </c>
      <c r="K139" s="3">
        <v>790</v>
      </c>
      <c r="L139" s="3">
        <v>97</v>
      </c>
      <c r="M139" s="3">
        <v>124</v>
      </c>
      <c r="N139" s="3">
        <v>92</v>
      </c>
      <c r="O139" s="3">
        <v>186</v>
      </c>
      <c r="P139" s="3">
        <v>21334</v>
      </c>
      <c r="Q139" s="3">
        <v>1103</v>
      </c>
      <c r="R139" s="4">
        <v>8.3000000000000007</v>
      </c>
      <c r="S139" s="6">
        <f>GlowNestSocialTable3[[#This Row],[Link Clicks]]/GlowNestSocialTable3[[#This Row],[Reach]]</f>
        <v>7.0061774898297425E-3</v>
      </c>
    </row>
    <row r="140" spans="1:19">
      <c r="A140" t="s">
        <v>172</v>
      </c>
      <c r="B140" s="2">
        <v>45739</v>
      </c>
      <c r="C140" t="s">
        <v>19</v>
      </c>
      <c r="D140" t="s">
        <v>30</v>
      </c>
      <c r="E140" t="s">
        <v>25</v>
      </c>
      <c r="F140" t="s">
        <v>44</v>
      </c>
      <c r="G140" t="s">
        <v>23</v>
      </c>
      <c r="H140" s="3">
        <v>69103</v>
      </c>
      <c r="I140" s="3">
        <v>28120</v>
      </c>
      <c r="J140" s="3">
        <v>24267</v>
      </c>
      <c r="K140" s="3">
        <v>586</v>
      </c>
      <c r="L140" s="3">
        <v>99</v>
      </c>
      <c r="M140" s="3">
        <v>57</v>
      </c>
      <c r="N140" s="3">
        <v>75</v>
      </c>
      <c r="O140" s="3">
        <v>187</v>
      </c>
      <c r="P140" s="3"/>
      <c r="Q140" s="3">
        <v>817</v>
      </c>
      <c r="R140" s="4">
        <v>3.37</v>
      </c>
      <c r="S140" s="6">
        <f>GlowNestSocialTable3[[#This Row],[Link Clicks]]/GlowNestSocialTable3[[#This Row],[Reach]]</f>
        <v>7.7059381052458067E-3</v>
      </c>
    </row>
    <row r="141" spans="1:19">
      <c r="A141" t="s">
        <v>173</v>
      </c>
      <c r="B141" s="2">
        <v>45740</v>
      </c>
      <c r="C141" t="s">
        <v>36</v>
      </c>
      <c r="D141" t="s">
        <v>20</v>
      </c>
      <c r="E141" t="s">
        <v>21</v>
      </c>
      <c r="F141" t="s">
        <v>31</v>
      </c>
      <c r="G141" t="s">
        <v>38</v>
      </c>
      <c r="H141" s="3">
        <v>83904</v>
      </c>
      <c r="I141" s="3">
        <v>82354</v>
      </c>
      <c r="J141" s="3">
        <v>65603</v>
      </c>
      <c r="K141" s="3">
        <v>1572</v>
      </c>
      <c r="L141" s="3">
        <v>278</v>
      </c>
      <c r="M141" s="3">
        <v>186</v>
      </c>
      <c r="N141" s="3">
        <v>205</v>
      </c>
      <c r="O141" s="3">
        <v>382</v>
      </c>
      <c r="P141" s="3">
        <v>44236</v>
      </c>
      <c r="Q141" s="3">
        <v>2241</v>
      </c>
      <c r="R141" s="4">
        <v>3.42</v>
      </c>
      <c r="S141" s="6">
        <f>GlowNestSocialTable3[[#This Row],[Link Clicks]]/GlowNestSocialTable3[[#This Row],[Reach]]</f>
        <v>5.8229044403457159E-3</v>
      </c>
    </row>
    <row r="142" spans="1:19">
      <c r="A142" t="s">
        <v>174</v>
      </c>
      <c r="B142" s="2">
        <v>45740</v>
      </c>
      <c r="C142" t="s">
        <v>19</v>
      </c>
      <c r="D142" t="s">
        <v>30</v>
      </c>
      <c r="E142" t="s">
        <v>46</v>
      </c>
      <c r="F142" t="s">
        <v>31</v>
      </c>
      <c r="G142" t="s">
        <v>23</v>
      </c>
      <c r="H142" s="3">
        <v>70142</v>
      </c>
      <c r="I142" s="3">
        <v>35255</v>
      </c>
      <c r="J142" s="3">
        <v>23747</v>
      </c>
      <c r="K142" s="3">
        <v>727</v>
      </c>
      <c r="L142" s="3">
        <v>121</v>
      </c>
      <c r="M142" s="3">
        <v>86</v>
      </c>
      <c r="N142" s="3">
        <v>36</v>
      </c>
      <c r="O142" s="3">
        <v>288</v>
      </c>
      <c r="P142" s="3"/>
      <c r="Q142" s="3">
        <v>970</v>
      </c>
      <c r="R142" s="4">
        <v>4.08</v>
      </c>
      <c r="S142" s="6">
        <f>GlowNestSocialTable3[[#This Row],[Link Clicks]]/GlowNestSocialTable3[[#This Row],[Reach]]</f>
        <v>1.212784772813408E-2</v>
      </c>
    </row>
    <row r="143" spans="1:19">
      <c r="A143" t="s">
        <v>175</v>
      </c>
      <c r="B143" s="2">
        <v>45741</v>
      </c>
      <c r="C143" t="s">
        <v>19</v>
      </c>
      <c r="D143" t="s">
        <v>30</v>
      </c>
      <c r="E143" t="s">
        <v>27</v>
      </c>
      <c r="F143" t="s">
        <v>42</v>
      </c>
      <c r="G143" t="s">
        <v>23</v>
      </c>
      <c r="H143" s="3">
        <v>67159</v>
      </c>
      <c r="I143" s="3">
        <v>38304</v>
      </c>
      <c r="J143" s="3">
        <v>25874</v>
      </c>
      <c r="K143" s="3">
        <v>1113</v>
      </c>
      <c r="L143" s="3">
        <v>164</v>
      </c>
      <c r="M143" s="3">
        <v>188</v>
      </c>
      <c r="N143" s="3">
        <v>201</v>
      </c>
      <c r="O143" s="3">
        <v>268</v>
      </c>
      <c r="P143" s="3"/>
      <c r="Q143" s="3">
        <v>1666</v>
      </c>
      <c r="R143" s="4">
        <v>6.44</v>
      </c>
      <c r="S143" s="6">
        <f>GlowNestSocialTable3[[#This Row],[Link Clicks]]/GlowNestSocialTable3[[#This Row],[Reach]]</f>
        <v>1.035788822756435E-2</v>
      </c>
    </row>
    <row r="144" spans="1:19">
      <c r="A144" t="s">
        <v>176</v>
      </c>
      <c r="B144" s="2">
        <v>45741</v>
      </c>
      <c r="C144" t="s">
        <v>36</v>
      </c>
      <c r="D144" t="s">
        <v>34</v>
      </c>
      <c r="E144" t="s">
        <v>46</v>
      </c>
      <c r="F144" t="s">
        <v>31</v>
      </c>
      <c r="G144" t="s">
        <v>23</v>
      </c>
      <c r="H144" s="3">
        <v>83320</v>
      </c>
      <c r="I144" s="3">
        <v>38454</v>
      </c>
      <c r="J144" s="3">
        <v>25040</v>
      </c>
      <c r="K144" s="3">
        <v>269</v>
      </c>
      <c r="L144" s="3">
        <v>45</v>
      </c>
      <c r="M144" s="3">
        <v>29</v>
      </c>
      <c r="N144" s="3">
        <v>39</v>
      </c>
      <c r="O144" s="3">
        <v>118</v>
      </c>
      <c r="P144" s="3"/>
      <c r="Q144" s="3">
        <v>382</v>
      </c>
      <c r="R144" s="4">
        <v>1.53</v>
      </c>
      <c r="S144" s="6">
        <f>GlowNestSocialTable3[[#This Row],[Link Clicks]]/GlowNestSocialTable3[[#This Row],[Reach]]</f>
        <v>4.7124600638977637E-3</v>
      </c>
    </row>
    <row r="145" spans="1:19">
      <c r="A145" t="s">
        <v>177</v>
      </c>
      <c r="B145" s="2">
        <v>45742</v>
      </c>
      <c r="C145" t="s">
        <v>36</v>
      </c>
      <c r="D145" t="s">
        <v>34</v>
      </c>
      <c r="E145" t="s">
        <v>25</v>
      </c>
      <c r="F145" t="s">
        <v>28</v>
      </c>
      <c r="G145" t="s">
        <v>23</v>
      </c>
      <c r="H145" s="3">
        <v>83099</v>
      </c>
      <c r="I145" s="3">
        <v>44860</v>
      </c>
      <c r="J145" s="3">
        <v>31871</v>
      </c>
      <c r="K145" s="3">
        <v>283</v>
      </c>
      <c r="L145" s="3">
        <v>35</v>
      </c>
      <c r="M145" s="3">
        <v>29</v>
      </c>
      <c r="N145" s="3">
        <v>11</v>
      </c>
      <c r="O145" s="3">
        <v>103</v>
      </c>
      <c r="P145" s="3"/>
      <c r="Q145" s="3">
        <v>358</v>
      </c>
      <c r="R145" s="4">
        <v>1.1200000000000001</v>
      </c>
      <c r="S145" s="6">
        <f>GlowNestSocialTable3[[#This Row],[Link Clicks]]/GlowNestSocialTable3[[#This Row],[Reach]]</f>
        <v>3.2317781054877477E-3</v>
      </c>
    </row>
    <row r="146" spans="1:19">
      <c r="A146" t="s">
        <v>178</v>
      </c>
      <c r="B146" s="2">
        <v>45743</v>
      </c>
      <c r="C146" t="s">
        <v>19</v>
      </c>
      <c r="D146" t="s">
        <v>37</v>
      </c>
      <c r="E146" t="s">
        <v>25</v>
      </c>
      <c r="F146" t="s">
        <v>28</v>
      </c>
      <c r="G146" t="s">
        <v>23</v>
      </c>
      <c r="H146" s="3">
        <v>70266</v>
      </c>
      <c r="I146" s="3">
        <v>38680</v>
      </c>
      <c r="J146" s="3">
        <v>30386</v>
      </c>
      <c r="K146" s="3">
        <v>705</v>
      </c>
      <c r="L146" s="3">
        <v>122</v>
      </c>
      <c r="M146" s="3">
        <v>126</v>
      </c>
      <c r="N146" s="3">
        <v>130</v>
      </c>
      <c r="O146" s="3">
        <v>325</v>
      </c>
      <c r="P146" s="3"/>
      <c r="Q146" s="3">
        <v>1083</v>
      </c>
      <c r="R146" s="4">
        <v>3.56</v>
      </c>
      <c r="S146" s="6">
        <f>GlowNestSocialTable3[[#This Row],[Link Clicks]]/GlowNestSocialTable3[[#This Row],[Reach]]</f>
        <v>1.069571513196867E-2</v>
      </c>
    </row>
    <row r="147" spans="1:19">
      <c r="A147" t="s">
        <v>179</v>
      </c>
      <c r="B147" s="2">
        <v>45743</v>
      </c>
      <c r="C147" t="s">
        <v>36</v>
      </c>
      <c r="D147" t="s">
        <v>34</v>
      </c>
      <c r="E147" t="s">
        <v>27</v>
      </c>
      <c r="F147" t="s">
        <v>44</v>
      </c>
      <c r="G147" t="s">
        <v>23</v>
      </c>
      <c r="H147" s="3">
        <v>83986</v>
      </c>
      <c r="I147" s="3">
        <v>60179</v>
      </c>
      <c r="J147" s="3">
        <v>39345</v>
      </c>
      <c r="K147" s="3">
        <v>642</v>
      </c>
      <c r="L147" s="3">
        <v>84</v>
      </c>
      <c r="M147" s="3">
        <v>53</v>
      </c>
      <c r="N147" s="3">
        <v>86</v>
      </c>
      <c r="O147" s="3">
        <v>271</v>
      </c>
      <c r="P147" s="3"/>
      <c r="Q147" s="3">
        <v>865</v>
      </c>
      <c r="R147" s="4">
        <v>2.2000000000000002</v>
      </c>
      <c r="S147" s="6">
        <f>GlowNestSocialTable3[[#This Row],[Link Clicks]]/GlowNestSocialTable3[[#This Row],[Reach]]</f>
        <v>6.8877875206506548E-3</v>
      </c>
    </row>
    <row r="148" spans="1:19">
      <c r="A148" t="s">
        <v>180</v>
      </c>
      <c r="B148" s="2">
        <v>45744</v>
      </c>
      <c r="C148" t="s">
        <v>36</v>
      </c>
      <c r="D148" t="s">
        <v>37</v>
      </c>
      <c r="E148" t="s">
        <v>25</v>
      </c>
      <c r="F148" t="s">
        <v>31</v>
      </c>
      <c r="G148" t="s">
        <v>23</v>
      </c>
      <c r="H148" s="3">
        <v>82975</v>
      </c>
      <c r="I148" s="3">
        <v>49242</v>
      </c>
      <c r="J148" s="3">
        <v>34962</v>
      </c>
      <c r="K148" s="3">
        <v>509</v>
      </c>
      <c r="L148" s="3">
        <v>52</v>
      </c>
      <c r="M148" s="3">
        <v>67</v>
      </c>
      <c r="N148" s="3">
        <v>71</v>
      </c>
      <c r="O148" s="3">
        <v>121</v>
      </c>
      <c r="P148" s="3"/>
      <c r="Q148" s="3">
        <v>699</v>
      </c>
      <c r="R148" s="4">
        <v>2</v>
      </c>
      <c r="S148" s="6">
        <f>GlowNestSocialTable3[[#This Row],[Link Clicks]]/GlowNestSocialTable3[[#This Row],[Reach]]</f>
        <v>3.4609004061552542E-3</v>
      </c>
    </row>
    <row r="149" spans="1:19">
      <c r="A149" t="s">
        <v>181</v>
      </c>
      <c r="B149" s="2">
        <v>45744</v>
      </c>
      <c r="C149" t="s">
        <v>33</v>
      </c>
      <c r="D149" t="s">
        <v>37</v>
      </c>
      <c r="E149" t="s">
        <v>27</v>
      </c>
      <c r="F149" t="s">
        <v>42</v>
      </c>
      <c r="G149" t="s">
        <v>23</v>
      </c>
      <c r="H149" s="3">
        <v>32218</v>
      </c>
      <c r="I149" s="3">
        <v>8211</v>
      </c>
      <c r="J149" s="3">
        <v>6906</v>
      </c>
      <c r="K149" s="3">
        <v>296</v>
      </c>
      <c r="L149" s="3">
        <v>50</v>
      </c>
      <c r="M149" s="3">
        <v>33</v>
      </c>
      <c r="N149" s="3">
        <v>93</v>
      </c>
      <c r="O149" s="3">
        <v>133</v>
      </c>
      <c r="P149" s="3"/>
      <c r="Q149" s="3">
        <v>472</v>
      </c>
      <c r="R149" s="4">
        <v>6.83</v>
      </c>
      <c r="S149" s="6">
        <f>GlowNestSocialTable3[[#This Row],[Link Clicks]]/GlowNestSocialTable3[[#This Row],[Reach]]</f>
        <v>1.9258615696495802E-2</v>
      </c>
    </row>
    <row r="150" spans="1:19">
      <c r="A150" t="s">
        <v>182</v>
      </c>
      <c r="B150" s="2">
        <v>45745</v>
      </c>
      <c r="C150" t="s">
        <v>36</v>
      </c>
      <c r="D150" t="s">
        <v>30</v>
      </c>
      <c r="E150" t="s">
        <v>27</v>
      </c>
      <c r="F150" t="s">
        <v>44</v>
      </c>
      <c r="G150" t="s">
        <v>23</v>
      </c>
      <c r="H150" s="3">
        <v>83826</v>
      </c>
      <c r="I150" s="3">
        <v>47323</v>
      </c>
      <c r="J150" s="3">
        <v>40759</v>
      </c>
      <c r="K150" s="3">
        <v>782</v>
      </c>
      <c r="L150" s="3">
        <v>131</v>
      </c>
      <c r="M150" s="3">
        <v>88</v>
      </c>
      <c r="N150" s="3">
        <v>142</v>
      </c>
      <c r="O150" s="3">
        <v>159</v>
      </c>
      <c r="P150" s="3"/>
      <c r="Q150" s="3">
        <v>1143</v>
      </c>
      <c r="R150" s="4">
        <v>2.8</v>
      </c>
      <c r="S150" s="6">
        <f>GlowNestSocialTable3[[#This Row],[Link Clicks]]/GlowNestSocialTable3[[#This Row],[Reach]]</f>
        <v>3.9009789249000223E-3</v>
      </c>
    </row>
    <row r="151" spans="1:19">
      <c r="A151" t="s">
        <v>183</v>
      </c>
      <c r="B151" s="2">
        <v>45746</v>
      </c>
      <c r="C151" t="s">
        <v>36</v>
      </c>
      <c r="D151" t="s">
        <v>20</v>
      </c>
      <c r="E151" t="s">
        <v>49</v>
      </c>
      <c r="F151" t="s">
        <v>44</v>
      </c>
      <c r="G151" t="s">
        <v>23</v>
      </c>
      <c r="H151" s="3">
        <v>85822</v>
      </c>
      <c r="I151" s="3">
        <v>42402</v>
      </c>
      <c r="J151" s="3">
        <v>35231</v>
      </c>
      <c r="K151" s="3">
        <v>683</v>
      </c>
      <c r="L151" s="3">
        <v>115</v>
      </c>
      <c r="M151" s="3">
        <v>73</v>
      </c>
      <c r="N151" s="3">
        <v>94</v>
      </c>
      <c r="O151" s="3">
        <v>175</v>
      </c>
      <c r="P151" s="3">
        <v>24513</v>
      </c>
      <c r="Q151" s="3">
        <v>965</v>
      </c>
      <c r="R151" s="4">
        <v>2.74</v>
      </c>
      <c r="S151" s="6">
        <f>GlowNestSocialTable3[[#This Row],[Link Clicks]]/GlowNestSocialTable3[[#This Row],[Reach]]</f>
        <v>4.9672163719451622E-3</v>
      </c>
    </row>
    <row r="152" spans="1:19">
      <c r="A152" t="s">
        <v>184</v>
      </c>
      <c r="B152" s="2">
        <v>45746</v>
      </c>
      <c r="C152" t="s">
        <v>36</v>
      </c>
      <c r="D152" t="s">
        <v>20</v>
      </c>
      <c r="E152" t="s">
        <v>49</v>
      </c>
      <c r="F152" t="s">
        <v>31</v>
      </c>
      <c r="G152" t="s">
        <v>23</v>
      </c>
      <c r="H152" s="3">
        <v>84648</v>
      </c>
      <c r="I152" s="3">
        <v>65129</v>
      </c>
      <c r="J152" s="3">
        <v>51755</v>
      </c>
      <c r="K152" s="3">
        <v>1189</v>
      </c>
      <c r="L152" s="3">
        <v>209</v>
      </c>
      <c r="M152" s="3">
        <v>138</v>
      </c>
      <c r="N152" s="3">
        <v>212</v>
      </c>
      <c r="O152" s="3">
        <v>214</v>
      </c>
      <c r="P152" s="3">
        <v>31804</v>
      </c>
      <c r="Q152" s="3">
        <v>1748</v>
      </c>
      <c r="R152" s="4">
        <v>3.38</v>
      </c>
      <c r="S152" s="6">
        <f>GlowNestSocialTable3[[#This Row],[Link Clicks]]/GlowNestSocialTable3[[#This Row],[Reach]]</f>
        <v>4.1348661965027534E-3</v>
      </c>
    </row>
    <row r="153" spans="1:19">
      <c r="A153" t="s">
        <v>185</v>
      </c>
      <c r="B153" s="2">
        <v>45747</v>
      </c>
      <c r="C153" t="s">
        <v>33</v>
      </c>
      <c r="D153" t="s">
        <v>37</v>
      </c>
      <c r="E153" t="s">
        <v>25</v>
      </c>
      <c r="F153" t="s">
        <v>44</v>
      </c>
      <c r="G153" t="s">
        <v>23</v>
      </c>
      <c r="H153" s="3">
        <v>32771</v>
      </c>
      <c r="I153" s="3">
        <v>10435</v>
      </c>
      <c r="J153" s="3">
        <v>9405</v>
      </c>
      <c r="K153" s="3">
        <v>178</v>
      </c>
      <c r="L153" s="3">
        <v>28</v>
      </c>
      <c r="M153" s="3">
        <v>20</v>
      </c>
      <c r="N153" s="3">
        <v>22</v>
      </c>
      <c r="O153" s="3">
        <v>83</v>
      </c>
      <c r="P153" s="3"/>
      <c r="Q153" s="3">
        <v>248</v>
      </c>
      <c r="R153" s="4">
        <v>2.64</v>
      </c>
      <c r="S153" s="6">
        <f>GlowNestSocialTable3[[#This Row],[Link Clicks]]/GlowNestSocialTable3[[#This Row],[Reach]]</f>
        <v>8.8250930356193521E-3</v>
      </c>
    </row>
    <row r="154" spans="1:19">
      <c r="A154" t="s">
        <v>186</v>
      </c>
      <c r="B154" s="2">
        <v>45747</v>
      </c>
      <c r="C154" t="s">
        <v>36</v>
      </c>
      <c r="D154" t="s">
        <v>20</v>
      </c>
      <c r="E154" t="s">
        <v>27</v>
      </c>
      <c r="F154" t="s">
        <v>44</v>
      </c>
      <c r="G154" t="s">
        <v>23</v>
      </c>
      <c r="H154" s="3">
        <v>81114</v>
      </c>
      <c r="I154" s="3">
        <v>62522</v>
      </c>
      <c r="J154" s="3">
        <v>45526</v>
      </c>
      <c r="K154" s="3">
        <v>1368</v>
      </c>
      <c r="L154" s="3">
        <v>225</v>
      </c>
      <c r="M154" s="3">
        <v>202</v>
      </c>
      <c r="N154" s="3">
        <v>54</v>
      </c>
      <c r="O154" s="3">
        <v>283</v>
      </c>
      <c r="P154" s="3">
        <v>28847</v>
      </c>
      <c r="Q154" s="3">
        <v>1849</v>
      </c>
      <c r="R154" s="4">
        <v>4.0599999999999996</v>
      </c>
      <c r="S154" s="6">
        <f>GlowNestSocialTable3[[#This Row],[Link Clicks]]/GlowNestSocialTable3[[#This Row],[Reach]]</f>
        <v>6.2162280894433953E-3</v>
      </c>
    </row>
    <row r="155" spans="1:19">
      <c r="A155" t="s">
        <v>187</v>
      </c>
      <c r="B155" s="2">
        <v>45748</v>
      </c>
      <c r="C155" t="s">
        <v>19</v>
      </c>
      <c r="D155" t="s">
        <v>37</v>
      </c>
      <c r="E155" t="s">
        <v>27</v>
      </c>
      <c r="F155" t="s">
        <v>42</v>
      </c>
      <c r="G155" t="s">
        <v>38</v>
      </c>
      <c r="H155" s="3">
        <v>69411</v>
      </c>
      <c r="I155" s="3">
        <v>65596</v>
      </c>
      <c r="J155" s="3">
        <v>43267</v>
      </c>
      <c r="K155" s="3">
        <v>1760</v>
      </c>
      <c r="L155" s="3">
        <v>247</v>
      </c>
      <c r="M155" s="3">
        <v>161</v>
      </c>
      <c r="N155" s="3">
        <v>596</v>
      </c>
      <c r="O155" s="3">
        <v>581</v>
      </c>
      <c r="P155" s="3"/>
      <c r="Q155" s="3">
        <v>2764</v>
      </c>
      <c r="R155" s="4">
        <v>6.39</v>
      </c>
      <c r="S155" s="6">
        <f>GlowNestSocialTable3[[#This Row],[Link Clicks]]/GlowNestSocialTable3[[#This Row],[Reach]]</f>
        <v>1.3428247856333926E-2</v>
      </c>
    </row>
    <row r="156" spans="1:19">
      <c r="A156" t="s">
        <v>188</v>
      </c>
      <c r="B156" s="2">
        <v>45749</v>
      </c>
      <c r="C156" t="s">
        <v>33</v>
      </c>
      <c r="D156" t="s">
        <v>37</v>
      </c>
      <c r="E156" t="s">
        <v>27</v>
      </c>
      <c r="F156" t="s">
        <v>44</v>
      </c>
      <c r="G156" t="s">
        <v>23</v>
      </c>
      <c r="H156" s="3">
        <v>32880</v>
      </c>
      <c r="I156" s="3">
        <v>15869</v>
      </c>
      <c r="J156" s="3">
        <v>11128</v>
      </c>
      <c r="K156" s="3">
        <v>520</v>
      </c>
      <c r="L156" s="3">
        <v>76</v>
      </c>
      <c r="M156" s="3">
        <v>64</v>
      </c>
      <c r="N156" s="3">
        <v>75</v>
      </c>
      <c r="O156" s="3">
        <v>187</v>
      </c>
      <c r="P156" s="3"/>
      <c r="Q156" s="3">
        <v>735</v>
      </c>
      <c r="R156" s="4">
        <v>6.6</v>
      </c>
      <c r="S156" s="6">
        <f>GlowNestSocialTable3[[#This Row],[Link Clicks]]/GlowNestSocialTable3[[#This Row],[Reach]]</f>
        <v>1.6804457225017971E-2</v>
      </c>
    </row>
    <row r="157" spans="1:19">
      <c r="A157" t="s">
        <v>189</v>
      </c>
      <c r="B157" s="2">
        <v>45749</v>
      </c>
      <c r="C157" t="s">
        <v>33</v>
      </c>
      <c r="D157" t="s">
        <v>37</v>
      </c>
      <c r="E157" t="s">
        <v>49</v>
      </c>
      <c r="F157" t="s">
        <v>42</v>
      </c>
      <c r="G157" t="s">
        <v>38</v>
      </c>
      <c r="H157" s="3">
        <v>36601</v>
      </c>
      <c r="I157" s="3">
        <v>20225</v>
      </c>
      <c r="J157" s="3">
        <v>14556</v>
      </c>
      <c r="K157" s="3">
        <v>362</v>
      </c>
      <c r="L157" s="3">
        <v>48</v>
      </c>
      <c r="M157" s="3">
        <v>47</v>
      </c>
      <c r="N157" s="3">
        <v>56</v>
      </c>
      <c r="O157" s="3">
        <v>139</v>
      </c>
      <c r="P157" s="3"/>
      <c r="Q157" s="3">
        <v>513</v>
      </c>
      <c r="R157" s="4">
        <v>3.52</v>
      </c>
      <c r="S157" s="6">
        <f>GlowNestSocialTable3[[#This Row],[Link Clicks]]/GlowNestSocialTable3[[#This Row],[Reach]]</f>
        <v>9.5493267381148664E-3</v>
      </c>
    </row>
    <row r="158" spans="1:19">
      <c r="A158" t="s">
        <v>190</v>
      </c>
      <c r="B158" s="2">
        <v>45750</v>
      </c>
      <c r="C158" t="s">
        <v>33</v>
      </c>
      <c r="D158" t="s">
        <v>20</v>
      </c>
      <c r="E158" t="s">
        <v>46</v>
      </c>
      <c r="F158" t="s">
        <v>22</v>
      </c>
      <c r="G158" t="s">
        <v>23</v>
      </c>
      <c r="H158" s="3">
        <v>31677</v>
      </c>
      <c r="I158" s="3">
        <v>13605</v>
      </c>
      <c r="J158" s="3">
        <v>10100</v>
      </c>
      <c r="K158" s="3">
        <v>324</v>
      </c>
      <c r="L158" s="3">
        <v>38</v>
      </c>
      <c r="M158" s="3">
        <v>55</v>
      </c>
      <c r="N158" s="3">
        <v>133</v>
      </c>
      <c r="O158" s="3">
        <v>148</v>
      </c>
      <c r="P158" s="3">
        <v>8515</v>
      </c>
      <c r="Q158" s="3">
        <v>550</v>
      </c>
      <c r="R158" s="4">
        <v>5.45</v>
      </c>
      <c r="S158" s="6">
        <f>GlowNestSocialTable3[[#This Row],[Link Clicks]]/GlowNestSocialTable3[[#This Row],[Reach]]</f>
        <v>1.4653465346534653E-2</v>
      </c>
    </row>
    <row r="159" spans="1:19">
      <c r="A159" t="s">
        <v>191</v>
      </c>
      <c r="B159" s="2">
        <v>45750</v>
      </c>
      <c r="C159" t="s">
        <v>36</v>
      </c>
      <c r="D159" t="s">
        <v>34</v>
      </c>
      <c r="E159" t="s">
        <v>27</v>
      </c>
      <c r="F159" t="s">
        <v>28</v>
      </c>
      <c r="G159" t="s">
        <v>23</v>
      </c>
      <c r="H159" s="3">
        <v>84062</v>
      </c>
      <c r="I159" s="3">
        <v>33380</v>
      </c>
      <c r="J159" s="3">
        <v>27404</v>
      </c>
      <c r="K159" s="3">
        <v>394</v>
      </c>
      <c r="L159" s="3">
        <v>40</v>
      </c>
      <c r="M159" s="3">
        <v>46</v>
      </c>
      <c r="N159" s="3">
        <v>43</v>
      </c>
      <c r="O159" s="3">
        <v>224</v>
      </c>
      <c r="P159" s="3"/>
      <c r="Q159" s="3">
        <v>523</v>
      </c>
      <c r="R159" s="4">
        <v>1.91</v>
      </c>
      <c r="S159" s="6">
        <f>GlowNestSocialTable3[[#This Row],[Link Clicks]]/GlowNestSocialTable3[[#This Row],[Reach]]</f>
        <v>8.1739891986571302E-3</v>
      </c>
    </row>
    <row r="160" spans="1:19">
      <c r="A160" t="s">
        <v>192</v>
      </c>
      <c r="B160" s="2">
        <v>45751</v>
      </c>
      <c r="C160" t="s">
        <v>193</v>
      </c>
      <c r="D160" t="s">
        <v>20</v>
      </c>
      <c r="E160" t="s">
        <v>46</v>
      </c>
      <c r="F160" t="s">
        <v>28</v>
      </c>
      <c r="G160" t="s">
        <v>38</v>
      </c>
      <c r="H160" s="3">
        <v>69352</v>
      </c>
      <c r="I160" s="3">
        <v>59092</v>
      </c>
      <c r="J160" s="3">
        <v>47110</v>
      </c>
      <c r="K160" s="3">
        <v>1768</v>
      </c>
      <c r="L160" s="3">
        <v>254</v>
      </c>
      <c r="M160" s="3">
        <v>270</v>
      </c>
      <c r="N160" s="3">
        <v>55</v>
      </c>
      <c r="O160" s="3">
        <v>456</v>
      </c>
      <c r="P160" s="3">
        <v>40519</v>
      </c>
      <c r="Q160" s="3">
        <v>2347</v>
      </c>
      <c r="R160" s="4">
        <v>4.9800000000000004</v>
      </c>
      <c r="S160" s="6">
        <f>GlowNestSocialTable3[[#This Row],[Link Clicks]]/GlowNestSocialTable3[[#This Row],[Reach]]</f>
        <v>9.6794735724899175E-3</v>
      </c>
    </row>
    <row r="161" spans="1:19">
      <c r="A161" t="s">
        <v>194</v>
      </c>
      <c r="B161" s="2">
        <v>45752</v>
      </c>
      <c r="C161" t="s">
        <v>19</v>
      </c>
      <c r="D161" t="s">
        <v>37</v>
      </c>
      <c r="E161" t="s">
        <v>25</v>
      </c>
      <c r="F161" t="s">
        <v>22</v>
      </c>
      <c r="G161" t="s">
        <v>38</v>
      </c>
      <c r="H161" s="3">
        <v>68717</v>
      </c>
      <c r="I161" s="3">
        <v>61435</v>
      </c>
      <c r="J161" s="3">
        <v>42560</v>
      </c>
      <c r="K161" s="3">
        <v>1057</v>
      </c>
      <c r="L161" s="3">
        <v>107</v>
      </c>
      <c r="M161" s="3">
        <v>134</v>
      </c>
      <c r="N161" s="3">
        <v>86</v>
      </c>
      <c r="O161" s="3">
        <v>389</v>
      </c>
      <c r="P161" s="3"/>
      <c r="Q161" s="3">
        <v>1384</v>
      </c>
      <c r="R161" s="4">
        <v>3.25</v>
      </c>
      <c r="S161" s="6">
        <f>GlowNestSocialTable3[[#This Row],[Link Clicks]]/GlowNestSocialTable3[[#This Row],[Reach]]</f>
        <v>9.1400375939849621E-3</v>
      </c>
    </row>
    <row r="162" spans="1:19">
      <c r="A162" t="s">
        <v>195</v>
      </c>
      <c r="B162" s="2">
        <v>45752</v>
      </c>
      <c r="C162" t="s">
        <v>36</v>
      </c>
      <c r="D162" t="s">
        <v>30</v>
      </c>
      <c r="E162" t="s">
        <v>49</v>
      </c>
      <c r="F162" t="s">
        <v>31</v>
      </c>
      <c r="G162" t="s">
        <v>23</v>
      </c>
      <c r="H162" s="3">
        <v>86440</v>
      </c>
      <c r="I162" s="3">
        <v>40727</v>
      </c>
      <c r="J162" s="3">
        <v>31665</v>
      </c>
      <c r="K162" s="3">
        <v>521</v>
      </c>
      <c r="L162" s="3">
        <v>66</v>
      </c>
      <c r="M162" s="3">
        <v>66</v>
      </c>
      <c r="N162" s="3">
        <v>79</v>
      </c>
      <c r="O162" s="3">
        <v>96</v>
      </c>
      <c r="P162" s="3"/>
      <c r="Q162" s="3">
        <v>732</v>
      </c>
      <c r="R162" s="4">
        <v>2.31</v>
      </c>
      <c r="S162" s="6">
        <f>GlowNestSocialTable3[[#This Row],[Link Clicks]]/GlowNestSocialTable3[[#This Row],[Reach]]</f>
        <v>3.0317385125532923E-3</v>
      </c>
    </row>
    <row r="163" spans="1:19">
      <c r="A163" t="s">
        <v>196</v>
      </c>
      <c r="B163" s="2">
        <v>45753</v>
      </c>
      <c r="C163" t="s">
        <v>36</v>
      </c>
      <c r="D163" t="s">
        <v>34</v>
      </c>
      <c r="E163" t="s">
        <v>27</v>
      </c>
      <c r="F163" t="s">
        <v>31</v>
      </c>
      <c r="G163" t="s">
        <v>23</v>
      </c>
      <c r="H163" s="3">
        <v>84100</v>
      </c>
      <c r="I163" s="3">
        <v>56841</v>
      </c>
      <c r="J163" s="3">
        <v>39944</v>
      </c>
      <c r="K163" s="3">
        <v>642</v>
      </c>
      <c r="L163" s="3">
        <v>80</v>
      </c>
      <c r="M163" s="3">
        <v>56</v>
      </c>
      <c r="N163" s="3">
        <v>125</v>
      </c>
      <c r="O163" s="3">
        <v>237</v>
      </c>
      <c r="P163" s="3"/>
      <c r="Q163" s="3">
        <v>903</v>
      </c>
      <c r="R163" s="4">
        <v>2.2599999999999998</v>
      </c>
      <c r="S163" s="6">
        <f>GlowNestSocialTable3[[#This Row],[Link Clicks]]/GlowNestSocialTable3[[#This Row],[Reach]]</f>
        <v>5.9333066292809938E-3</v>
      </c>
    </row>
    <row r="164" spans="1:19">
      <c r="A164" t="s">
        <v>197</v>
      </c>
      <c r="B164" s="2">
        <v>45754</v>
      </c>
      <c r="C164" t="s">
        <v>36</v>
      </c>
      <c r="D164" t="s">
        <v>34</v>
      </c>
      <c r="E164" t="s">
        <v>25</v>
      </c>
      <c r="F164" t="s">
        <v>44</v>
      </c>
      <c r="G164" t="s">
        <v>23</v>
      </c>
      <c r="H164" s="3">
        <v>86936</v>
      </c>
      <c r="I164" s="3">
        <v>34514</v>
      </c>
      <c r="J164" s="3">
        <v>25276</v>
      </c>
      <c r="K164" s="3">
        <v>226</v>
      </c>
      <c r="L164" s="3">
        <v>38</v>
      </c>
      <c r="M164" s="3">
        <v>33</v>
      </c>
      <c r="N164" s="3">
        <v>12</v>
      </c>
      <c r="O164" s="3">
        <v>99</v>
      </c>
      <c r="P164" s="3"/>
      <c r="Q164" s="3">
        <v>309</v>
      </c>
      <c r="R164" s="4">
        <v>1.22</v>
      </c>
      <c r="S164" s="6">
        <f>GlowNestSocialTable3[[#This Row],[Link Clicks]]/GlowNestSocialTable3[[#This Row],[Reach]]</f>
        <v>3.9167589808514003E-3</v>
      </c>
    </row>
    <row r="165" spans="1:19">
      <c r="A165" t="s">
        <v>198</v>
      </c>
      <c r="B165" s="2">
        <v>45754</v>
      </c>
      <c r="C165" t="s">
        <v>36</v>
      </c>
      <c r="D165" t="s">
        <v>34</v>
      </c>
      <c r="E165" t="s">
        <v>49</v>
      </c>
      <c r="F165" t="s">
        <v>44</v>
      </c>
      <c r="G165" t="s">
        <v>23</v>
      </c>
      <c r="H165" s="3">
        <v>84659</v>
      </c>
      <c r="I165" s="3">
        <v>42265</v>
      </c>
      <c r="J165" s="3">
        <v>30078</v>
      </c>
      <c r="K165" s="3">
        <v>313</v>
      </c>
      <c r="L165" s="3">
        <v>60</v>
      </c>
      <c r="M165" s="3">
        <v>52</v>
      </c>
      <c r="N165" s="3">
        <v>27</v>
      </c>
      <c r="O165" s="3">
        <v>135</v>
      </c>
      <c r="P165" s="3"/>
      <c r="Q165" s="3">
        <v>452</v>
      </c>
      <c r="R165" s="4">
        <v>1.5</v>
      </c>
      <c r="S165" s="6">
        <f>GlowNestSocialTable3[[#This Row],[Link Clicks]]/GlowNestSocialTable3[[#This Row],[Reach]]</f>
        <v>4.4883303411131061E-3</v>
      </c>
    </row>
    <row r="166" spans="1:19">
      <c r="A166" t="s">
        <v>199</v>
      </c>
      <c r="B166" s="2">
        <v>45755</v>
      </c>
      <c r="C166" t="s">
        <v>19</v>
      </c>
      <c r="D166" t="s">
        <v>34</v>
      </c>
      <c r="E166" t="s">
        <v>27</v>
      </c>
      <c r="F166" t="s">
        <v>31</v>
      </c>
      <c r="G166" t="s">
        <v>23</v>
      </c>
      <c r="H166" s="3">
        <v>69144</v>
      </c>
      <c r="I166" s="3">
        <v>22417</v>
      </c>
      <c r="J166" s="3">
        <v>15633</v>
      </c>
      <c r="K166" s="3">
        <v>503</v>
      </c>
      <c r="L166" s="3">
        <v>66</v>
      </c>
      <c r="M166" s="3">
        <v>53</v>
      </c>
      <c r="N166" s="3">
        <v>150</v>
      </c>
      <c r="O166" s="3">
        <v>236</v>
      </c>
      <c r="P166" s="3"/>
      <c r="Q166" s="3">
        <v>772</v>
      </c>
      <c r="R166" s="4">
        <v>4.9400000000000004</v>
      </c>
      <c r="S166" s="6">
        <f>GlowNestSocialTable3[[#This Row],[Link Clicks]]/GlowNestSocialTable3[[#This Row],[Reach]]</f>
        <v>1.5096270709396788E-2</v>
      </c>
    </row>
    <row r="167" spans="1:19">
      <c r="A167" t="s">
        <v>200</v>
      </c>
      <c r="B167" s="2">
        <v>45755</v>
      </c>
      <c r="C167" t="s">
        <v>33</v>
      </c>
      <c r="D167" t="s">
        <v>34</v>
      </c>
      <c r="E167" t="s">
        <v>49</v>
      </c>
      <c r="F167" t="s">
        <v>42</v>
      </c>
      <c r="G167" t="s">
        <v>23</v>
      </c>
      <c r="H167" s="3">
        <v>34097</v>
      </c>
      <c r="I167" s="3">
        <v>12113</v>
      </c>
      <c r="J167" s="3">
        <v>7999</v>
      </c>
      <c r="K167" s="3">
        <v>202</v>
      </c>
      <c r="L167" s="3">
        <v>22</v>
      </c>
      <c r="M167" s="3">
        <v>23</v>
      </c>
      <c r="N167" s="3">
        <v>16</v>
      </c>
      <c r="O167" s="3">
        <v>96</v>
      </c>
      <c r="P167" s="3"/>
      <c r="Q167" s="3">
        <v>263</v>
      </c>
      <c r="R167" s="4">
        <v>3.29</v>
      </c>
      <c r="S167" s="6">
        <f>GlowNestSocialTable3[[#This Row],[Link Clicks]]/GlowNestSocialTable3[[#This Row],[Reach]]</f>
        <v>1.2001500187523441E-2</v>
      </c>
    </row>
    <row r="168" spans="1:19">
      <c r="A168" t="s">
        <v>201</v>
      </c>
      <c r="B168" s="2">
        <v>45756</v>
      </c>
      <c r="C168" t="s">
        <v>36</v>
      </c>
      <c r="D168" t="s">
        <v>20</v>
      </c>
      <c r="E168" t="s">
        <v>27</v>
      </c>
      <c r="F168" t="s">
        <v>42</v>
      </c>
      <c r="G168" t="s">
        <v>38</v>
      </c>
      <c r="H168" s="3">
        <v>87519</v>
      </c>
      <c r="I168" s="3">
        <v>148481</v>
      </c>
      <c r="J168" s="3">
        <v>96601</v>
      </c>
      <c r="K168" s="3">
        <v>1896</v>
      </c>
      <c r="L168" s="3">
        <v>204</v>
      </c>
      <c r="M168" s="3">
        <v>236</v>
      </c>
      <c r="N168" s="3">
        <v>1074</v>
      </c>
      <c r="O168" s="3">
        <v>432</v>
      </c>
      <c r="P168" s="3">
        <v>60933</v>
      </c>
      <c r="Q168" s="3">
        <v>3410</v>
      </c>
      <c r="R168" s="4">
        <v>3.53</v>
      </c>
      <c r="S168" s="6">
        <f>GlowNestSocialTable3[[#This Row],[Link Clicks]]/GlowNestSocialTable3[[#This Row],[Reach]]</f>
        <v>4.4720033954099856E-3</v>
      </c>
    </row>
    <row r="169" spans="1:19">
      <c r="A169" t="s">
        <v>202</v>
      </c>
      <c r="B169" s="2">
        <v>45757</v>
      </c>
      <c r="C169" t="s">
        <v>19</v>
      </c>
      <c r="D169" t="s">
        <v>37</v>
      </c>
      <c r="E169" t="s">
        <v>25</v>
      </c>
      <c r="F169" t="s">
        <v>28</v>
      </c>
      <c r="G169" t="s">
        <v>23</v>
      </c>
      <c r="H169" s="3">
        <v>69814</v>
      </c>
      <c r="I169" s="3">
        <v>32621</v>
      </c>
      <c r="J169" s="3">
        <v>24124</v>
      </c>
      <c r="K169" s="3">
        <v>571</v>
      </c>
      <c r="L169" s="3">
        <v>110</v>
      </c>
      <c r="M169" s="3">
        <v>61</v>
      </c>
      <c r="N169" s="3">
        <v>107</v>
      </c>
      <c r="O169" s="3">
        <v>206</v>
      </c>
      <c r="P169" s="3"/>
      <c r="Q169" s="3">
        <v>849</v>
      </c>
      <c r="R169" s="4">
        <v>3.52</v>
      </c>
      <c r="S169" s="6">
        <f>GlowNestSocialTable3[[#This Row],[Link Clicks]]/GlowNestSocialTable3[[#This Row],[Reach]]</f>
        <v>8.539214060686454E-3</v>
      </c>
    </row>
    <row r="170" spans="1:19">
      <c r="A170" t="s">
        <v>203</v>
      </c>
      <c r="B170" s="2">
        <v>45757</v>
      </c>
      <c r="C170" t="s">
        <v>33</v>
      </c>
      <c r="D170" t="s">
        <v>34</v>
      </c>
      <c r="E170" t="s">
        <v>25</v>
      </c>
      <c r="F170" t="s">
        <v>31</v>
      </c>
      <c r="G170" t="s">
        <v>23</v>
      </c>
      <c r="H170" s="3">
        <v>32036</v>
      </c>
      <c r="I170" s="3">
        <v>7228</v>
      </c>
      <c r="J170" s="3">
        <v>6462</v>
      </c>
      <c r="K170" s="3">
        <v>95</v>
      </c>
      <c r="L170" s="3">
        <v>12</v>
      </c>
      <c r="M170" s="3">
        <v>11</v>
      </c>
      <c r="N170" s="3">
        <v>8</v>
      </c>
      <c r="O170" s="3">
        <v>76</v>
      </c>
      <c r="P170" s="3"/>
      <c r="Q170" s="3">
        <v>126</v>
      </c>
      <c r="R170" s="4">
        <v>1.95</v>
      </c>
      <c r="S170" s="6">
        <f>GlowNestSocialTable3[[#This Row],[Link Clicks]]/GlowNestSocialTable3[[#This Row],[Reach]]</f>
        <v>1.1761064685855771E-2</v>
      </c>
    </row>
    <row r="171" spans="1:19">
      <c r="A171" t="s">
        <v>204</v>
      </c>
      <c r="B171" s="2">
        <v>45758</v>
      </c>
      <c r="C171" t="s">
        <v>36</v>
      </c>
      <c r="D171" t="s">
        <v>30</v>
      </c>
      <c r="E171" t="s">
        <v>27</v>
      </c>
      <c r="F171" t="s">
        <v>31</v>
      </c>
      <c r="G171" t="s">
        <v>23</v>
      </c>
      <c r="H171" s="3">
        <v>83425</v>
      </c>
      <c r="I171" s="3">
        <v>44403</v>
      </c>
      <c r="J171" s="3">
        <v>31998</v>
      </c>
      <c r="K171" s="3">
        <v>472</v>
      </c>
      <c r="L171" s="3">
        <v>56</v>
      </c>
      <c r="M171" s="3">
        <v>69</v>
      </c>
      <c r="N171" s="3">
        <v>85</v>
      </c>
      <c r="O171" s="3">
        <v>164</v>
      </c>
      <c r="P171" s="3"/>
      <c r="Q171" s="3">
        <v>682</v>
      </c>
      <c r="R171" s="4">
        <v>2.13</v>
      </c>
      <c r="S171" s="6">
        <f>GlowNestSocialTable3[[#This Row],[Link Clicks]]/GlowNestSocialTable3[[#This Row],[Reach]]</f>
        <v>5.1253203325207827E-3</v>
      </c>
    </row>
    <row r="172" spans="1:19">
      <c r="A172" t="s">
        <v>205</v>
      </c>
      <c r="B172" s="2">
        <v>45758</v>
      </c>
      <c r="C172" t="s">
        <v>19</v>
      </c>
      <c r="D172" t="s">
        <v>20</v>
      </c>
      <c r="E172" t="s">
        <v>49</v>
      </c>
      <c r="F172" t="s">
        <v>31</v>
      </c>
      <c r="G172" t="s">
        <v>23</v>
      </c>
      <c r="H172" s="3">
        <v>70814</v>
      </c>
      <c r="I172" s="3">
        <v>44879</v>
      </c>
      <c r="J172" s="3">
        <v>33374</v>
      </c>
      <c r="K172" s="3">
        <v>1691</v>
      </c>
      <c r="L172" s="3">
        <v>210</v>
      </c>
      <c r="M172" s="3">
        <v>257</v>
      </c>
      <c r="N172" s="3">
        <v>533</v>
      </c>
      <c r="O172" s="3">
        <v>363</v>
      </c>
      <c r="P172" s="3">
        <v>24768</v>
      </c>
      <c r="Q172" s="3">
        <v>2691</v>
      </c>
      <c r="R172" s="4">
        <v>8.06</v>
      </c>
      <c r="S172" s="6">
        <f>GlowNestSocialTable3[[#This Row],[Link Clicks]]/GlowNestSocialTable3[[#This Row],[Reach]]</f>
        <v>1.0876730388925511E-2</v>
      </c>
    </row>
    <row r="173" spans="1:19">
      <c r="A173" t="s">
        <v>206</v>
      </c>
      <c r="B173" s="2">
        <v>45759</v>
      </c>
      <c r="C173" t="s">
        <v>36</v>
      </c>
      <c r="D173" t="s">
        <v>34</v>
      </c>
      <c r="E173" t="s">
        <v>46</v>
      </c>
      <c r="F173" t="s">
        <v>44</v>
      </c>
      <c r="G173" t="s">
        <v>38</v>
      </c>
      <c r="H173" s="3">
        <v>84419</v>
      </c>
      <c r="I173" s="3">
        <v>46343</v>
      </c>
      <c r="J173" s="3">
        <v>37640</v>
      </c>
      <c r="K173" s="3">
        <v>347</v>
      </c>
      <c r="L173" s="3">
        <v>53</v>
      </c>
      <c r="M173" s="3">
        <v>51</v>
      </c>
      <c r="N173" s="3">
        <v>19</v>
      </c>
      <c r="O173" s="3">
        <v>226</v>
      </c>
      <c r="P173" s="3"/>
      <c r="Q173" s="3">
        <v>470</v>
      </c>
      <c r="R173" s="4">
        <v>1.25</v>
      </c>
      <c r="S173" s="6">
        <f>GlowNestSocialTable3[[#This Row],[Link Clicks]]/GlowNestSocialTable3[[#This Row],[Reach]]</f>
        <v>6.0042507970244421E-3</v>
      </c>
    </row>
    <row r="174" spans="1:19">
      <c r="A174" t="s">
        <v>207</v>
      </c>
      <c r="B174" s="2">
        <v>45760</v>
      </c>
      <c r="C174" t="s">
        <v>36</v>
      </c>
      <c r="D174" t="s">
        <v>34</v>
      </c>
      <c r="E174" t="s">
        <v>27</v>
      </c>
      <c r="F174" t="s">
        <v>42</v>
      </c>
      <c r="G174" t="s">
        <v>38</v>
      </c>
      <c r="H174" s="3">
        <v>84503</v>
      </c>
      <c r="I174" s="3">
        <v>72089</v>
      </c>
      <c r="J174" s="3">
        <v>58035</v>
      </c>
      <c r="K174" s="3">
        <v>901</v>
      </c>
      <c r="L174" s="3">
        <v>91</v>
      </c>
      <c r="M174" s="3">
        <v>117</v>
      </c>
      <c r="N174" s="3">
        <v>119</v>
      </c>
      <c r="O174" s="3">
        <v>352</v>
      </c>
      <c r="P174" s="3"/>
      <c r="Q174" s="3">
        <v>1228</v>
      </c>
      <c r="R174" s="4">
        <v>2.12</v>
      </c>
      <c r="S174" s="6">
        <f>GlowNestSocialTable3[[#This Row],[Link Clicks]]/GlowNestSocialTable3[[#This Row],[Reach]]</f>
        <v>6.06530541914362E-3</v>
      </c>
    </row>
    <row r="175" spans="1:19">
      <c r="A175" t="s">
        <v>208</v>
      </c>
      <c r="B175" s="2">
        <v>45760</v>
      </c>
      <c r="C175" t="s">
        <v>36</v>
      </c>
      <c r="D175" t="s">
        <v>20</v>
      </c>
      <c r="E175" t="s">
        <v>25</v>
      </c>
      <c r="F175" t="s">
        <v>22</v>
      </c>
      <c r="G175" t="s">
        <v>23</v>
      </c>
      <c r="H175" s="3">
        <v>85534</v>
      </c>
      <c r="I175" s="3">
        <v>46937</v>
      </c>
      <c r="J175" s="3">
        <v>35571</v>
      </c>
      <c r="K175" s="3">
        <v>547</v>
      </c>
      <c r="L175" s="3">
        <v>73</v>
      </c>
      <c r="M175" s="3">
        <v>74</v>
      </c>
      <c r="N175" s="3">
        <v>105</v>
      </c>
      <c r="O175" s="3">
        <v>172</v>
      </c>
      <c r="P175" s="3">
        <v>22117</v>
      </c>
      <c r="Q175" s="3">
        <v>799</v>
      </c>
      <c r="R175" s="4">
        <v>2.25</v>
      </c>
      <c r="S175" s="6">
        <f>GlowNestSocialTable3[[#This Row],[Link Clicks]]/GlowNestSocialTable3[[#This Row],[Reach]]</f>
        <v>4.835399623288634E-3</v>
      </c>
    </row>
    <row r="176" spans="1:19">
      <c r="A176" t="s">
        <v>209</v>
      </c>
      <c r="B176" s="2">
        <v>45761</v>
      </c>
      <c r="C176" t="s">
        <v>19</v>
      </c>
      <c r="D176" t="s">
        <v>37</v>
      </c>
      <c r="E176" t="s">
        <v>49</v>
      </c>
      <c r="F176" t="s">
        <v>28</v>
      </c>
      <c r="G176" t="s">
        <v>23</v>
      </c>
      <c r="H176" s="3">
        <v>72000</v>
      </c>
      <c r="I176" s="3">
        <v>29183</v>
      </c>
      <c r="J176" s="3">
        <v>18867</v>
      </c>
      <c r="K176" s="3">
        <v>761</v>
      </c>
      <c r="L176" s="3">
        <v>79</v>
      </c>
      <c r="M176" s="3">
        <v>86</v>
      </c>
      <c r="N176" s="3">
        <v>153</v>
      </c>
      <c r="O176" s="3">
        <v>196</v>
      </c>
      <c r="P176" s="3"/>
      <c r="Q176" s="3">
        <v>1079</v>
      </c>
      <c r="R176" s="4">
        <v>5.72</v>
      </c>
      <c r="S176" s="6">
        <f>GlowNestSocialTable3[[#This Row],[Link Clicks]]/GlowNestSocialTable3[[#This Row],[Reach]]</f>
        <v>1.0388509036942811E-2</v>
      </c>
    </row>
    <row r="177" spans="1:19">
      <c r="A177" t="s">
        <v>210</v>
      </c>
      <c r="B177" s="2">
        <v>45761</v>
      </c>
      <c r="C177" t="s">
        <v>33</v>
      </c>
      <c r="D177" t="s">
        <v>37</v>
      </c>
      <c r="E177" t="s">
        <v>27</v>
      </c>
      <c r="F177" t="s">
        <v>42</v>
      </c>
      <c r="G177" t="s">
        <v>23</v>
      </c>
      <c r="H177" s="3">
        <v>33421</v>
      </c>
      <c r="I177" s="3">
        <v>15160</v>
      </c>
      <c r="J177" s="3">
        <v>10378</v>
      </c>
      <c r="K177" s="3">
        <v>440</v>
      </c>
      <c r="L177" s="3">
        <v>55</v>
      </c>
      <c r="M177" s="3">
        <v>67</v>
      </c>
      <c r="N177" s="3">
        <v>171</v>
      </c>
      <c r="O177" s="3">
        <v>128</v>
      </c>
      <c r="P177" s="3"/>
      <c r="Q177" s="3">
        <v>733</v>
      </c>
      <c r="R177" s="4">
        <v>7.06</v>
      </c>
      <c r="S177" s="6">
        <f>GlowNestSocialTable3[[#This Row],[Link Clicks]]/GlowNestSocialTable3[[#This Row],[Reach]]</f>
        <v>1.2333783002505299E-2</v>
      </c>
    </row>
    <row r="178" spans="1:19">
      <c r="A178" t="s">
        <v>212</v>
      </c>
      <c r="B178" s="2">
        <v>45763</v>
      </c>
      <c r="C178" t="s">
        <v>33</v>
      </c>
      <c r="D178" t="s">
        <v>20</v>
      </c>
      <c r="E178" t="s">
        <v>27</v>
      </c>
      <c r="F178" t="s">
        <v>31</v>
      </c>
      <c r="G178" t="s">
        <v>23</v>
      </c>
      <c r="H178" s="3">
        <v>33703</v>
      </c>
      <c r="I178" s="3">
        <v>20211</v>
      </c>
      <c r="J178" s="3">
        <v>13519</v>
      </c>
      <c r="K178" s="3">
        <v>552</v>
      </c>
      <c r="L178" s="3">
        <v>92</v>
      </c>
      <c r="M178" s="3">
        <v>74</v>
      </c>
      <c r="N178" s="3"/>
      <c r="O178" s="3">
        <v>259</v>
      </c>
      <c r="P178" s="3">
        <v>10349</v>
      </c>
      <c r="Q178" s="3">
        <v>847</v>
      </c>
      <c r="R178" s="4">
        <v>6.27</v>
      </c>
      <c r="S178" s="6">
        <f>GlowNestSocialTable3[[#This Row],[Link Clicks]]/GlowNestSocialTable3[[#This Row],[Reach]]</f>
        <v>1.9158221761964644E-2</v>
      </c>
    </row>
    <row r="179" spans="1:19">
      <c r="A179" t="s">
        <v>213</v>
      </c>
      <c r="B179" s="2">
        <v>45764</v>
      </c>
      <c r="C179" t="s">
        <v>19</v>
      </c>
      <c r="D179" t="s">
        <v>37</v>
      </c>
      <c r="E179" t="s">
        <v>25</v>
      </c>
      <c r="F179" t="s">
        <v>44</v>
      </c>
      <c r="G179" t="s">
        <v>38</v>
      </c>
      <c r="H179" s="3">
        <v>72607</v>
      </c>
      <c r="I179" s="3">
        <v>52229</v>
      </c>
      <c r="J179" s="3">
        <v>45783</v>
      </c>
      <c r="K179" s="3">
        <v>1005</v>
      </c>
      <c r="L179" s="3">
        <v>156</v>
      </c>
      <c r="M179" s="3">
        <v>113</v>
      </c>
      <c r="N179" s="3">
        <v>39</v>
      </c>
      <c r="O179" s="3">
        <v>401</v>
      </c>
      <c r="P179" s="3"/>
      <c r="Q179" s="3">
        <v>1313</v>
      </c>
      <c r="R179" s="4">
        <v>2.87</v>
      </c>
      <c r="S179" s="6">
        <f>GlowNestSocialTable3[[#This Row],[Link Clicks]]/GlowNestSocialTable3[[#This Row],[Reach]]</f>
        <v>8.7587095646855812E-3</v>
      </c>
    </row>
    <row r="180" spans="1:19">
      <c r="A180" t="s">
        <v>214</v>
      </c>
      <c r="B180" s="2">
        <v>45764</v>
      </c>
      <c r="C180" t="s">
        <v>36</v>
      </c>
      <c r="D180" t="s">
        <v>34</v>
      </c>
      <c r="E180" t="s">
        <v>27</v>
      </c>
      <c r="F180" t="s">
        <v>28</v>
      </c>
      <c r="G180" t="s">
        <v>38</v>
      </c>
      <c r="H180" s="3">
        <v>85465</v>
      </c>
      <c r="I180" s="3">
        <v>63522</v>
      </c>
      <c r="J180" s="3">
        <v>58024</v>
      </c>
      <c r="K180" s="3">
        <v>595</v>
      </c>
      <c r="L180" s="3">
        <v>118</v>
      </c>
      <c r="M180" s="3">
        <v>56</v>
      </c>
      <c r="N180" s="3">
        <v>159</v>
      </c>
      <c r="O180" s="3">
        <v>342</v>
      </c>
      <c r="P180" s="3"/>
      <c r="Q180" s="3">
        <v>928</v>
      </c>
      <c r="R180" s="4">
        <v>1.6</v>
      </c>
      <c r="S180" s="6">
        <f>GlowNestSocialTable3[[#This Row],[Link Clicks]]/GlowNestSocialTable3[[#This Row],[Reach]]</f>
        <v>5.8941127809182406E-3</v>
      </c>
    </row>
    <row r="181" spans="1:19">
      <c r="A181" t="s">
        <v>215</v>
      </c>
      <c r="B181" s="2">
        <v>45765</v>
      </c>
      <c r="C181" t="s">
        <v>36</v>
      </c>
      <c r="D181" t="s">
        <v>30</v>
      </c>
      <c r="E181" t="s">
        <v>27</v>
      </c>
      <c r="F181" t="s">
        <v>31</v>
      </c>
      <c r="G181" t="s">
        <v>23</v>
      </c>
      <c r="H181" s="3">
        <v>86311</v>
      </c>
      <c r="I181" s="3">
        <v>49018</v>
      </c>
      <c r="J181" s="3">
        <v>44558</v>
      </c>
      <c r="K181" s="3">
        <v>577</v>
      </c>
      <c r="L181" s="3">
        <v>61</v>
      </c>
      <c r="M181" s="3">
        <v>72</v>
      </c>
      <c r="N181" s="3">
        <v>176</v>
      </c>
      <c r="O181" s="3">
        <v>202</v>
      </c>
      <c r="P181" s="3"/>
      <c r="Q181" s="3">
        <v>886</v>
      </c>
      <c r="R181" s="4">
        <v>1.99</v>
      </c>
      <c r="S181" s="6">
        <f>GlowNestSocialTable3[[#This Row],[Link Clicks]]/GlowNestSocialTable3[[#This Row],[Reach]]</f>
        <v>4.5334171192602897E-3</v>
      </c>
    </row>
    <row r="182" spans="1:19">
      <c r="A182" t="s">
        <v>216</v>
      </c>
      <c r="B182" s="2">
        <v>45766</v>
      </c>
      <c r="C182" t="s">
        <v>36</v>
      </c>
      <c r="D182" t="s">
        <v>30</v>
      </c>
      <c r="E182" t="s">
        <v>21</v>
      </c>
      <c r="F182" t="s">
        <v>28</v>
      </c>
      <c r="G182" t="s">
        <v>23</v>
      </c>
      <c r="H182" s="3">
        <v>84280</v>
      </c>
      <c r="I182" s="3">
        <v>33889</v>
      </c>
      <c r="J182" s="3">
        <v>26863</v>
      </c>
      <c r="K182" s="3">
        <v>423</v>
      </c>
      <c r="L182" s="3">
        <v>43</v>
      </c>
      <c r="M182" s="3">
        <v>53</v>
      </c>
      <c r="N182" s="3">
        <v>78</v>
      </c>
      <c r="O182" s="3">
        <v>135</v>
      </c>
      <c r="P182" s="3"/>
      <c r="Q182" s="3">
        <v>597</v>
      </c>
      <c r="R182" s="4">
        <v>2.2200000000000002</v>
      </c>
      <c r="S182" s="6">
        <f>GlowNestSocialTable3[[#This Row],[Link Clicks]]/GlowNestSocialTable3[[#This Row],[Reach]]</f>
        <v>5.0254997580314927E-3</v>
      </c>
    </row>
    <row r="183" spans="1:19">
      <c r="A183" t="s">
        <v>217</v>
      </c>
      <c r="B183" s="2">
        <v>45766</v>
      </c>
      <c r="C183" t="s">
        <v>36</v>
      </c>
      <c r="D183" t="s">
        <v>34</v>
      </c>
      <c r="E183" t="s">
        <v>46</v>
      </c>
      <c r="F183" t="s">
        <v>22</v>
      </c>
      <c r="G183" t="s">
        <v>38</v>
      </c>
      <c r="H183" s="3">
        <v>83210</v>
      </c>
      <c r="I183" s="3">
        <v>47648</v>
      </c>
      <c r="J183" s="3">
        <v>31528</v>
      </c>
      <c r="K183" s="3">
        <v>357</v>
      </c>
      <c r="L183" s="3">
        <v>40</v>
      </c>
      <c r="M183" s="3">
        <v>32</v>
      </c>
      <c r="N183" s="3">
        <v>65</v>
      </c>
      <c r="O183" s="3">
        <v>188</v>
      </c>
      <c r="P183" s="3"/>
      <c r="Q183" s="3">
        <v>494</v>
      </c>
      <c r="R183" s="4">
        <v>1.57</v>
      </c>
      <c r="S183" s="6">
        <f>GlowNestSocialTable3[[#This Row],[Link Clicks]]/GlowNestSocialTable3[[#This Row],[Reach]]</f>
        <v>5.962953565085004E-3</v>
      </c>
    </row>
    <row r="184" spans="1:19">
      <c r="A184" t="s">
        <v>218</v>
      </c>
      <c r="B184" s="2">
        <v>45767</v>
      </c>
      <c r="C184" t="s">
        <v>33</v>
      </c>
      <c r="D184" t="s">
        <v>34</v>
      </c>
      <c r="E184" t="s">
        <v>21</v>
      </c>
      <c r="F184" t="s">
        <v>44</v>
      </c>
      <c r="G184" t="s">
        <v>23</v>
      </c>
      <c r="H184" s="3">
        <v>33385</v>
      </c>
      <c r="I184" s="3">
        <v>7809</v>
      </c>
      <c r="J184" s="3">
        <v>6727</v>
      </c>
      <c r="K184" s="3">
        <v>146</v>
      </c>
      <c r="L184" s="3">
        <v>22</v>
      </c>
      <c r="M184" s="3">
        <v>22</v>
      </c>
      <c r="N184" s="3">
        <v>18</v>
      </c>
      <c r="O184" s="3">
        <v>116</v>
      </c>
      <c r="P184" s="3"/>
      <c r="Q184" s="3">
        <v>208</v>
      </c>
      <c r="R184" s="4">
        <v>3.09</v>
      </c>
      <c r="S184" s="6">
        <f>GlowNestSocialTable3[[#This Row],[Link Clicks]]/GlowNestSocialTable3[[#This Row],[Reach]]</f>
        <v>1.7243942321986026E-2</v>
      </c>
    </row>
    <row r="185" spans="1:19">
      <c r="A185" t="s">
        <v>219</v>
      </c>
      <c r="B185" s="2">
        <v>45767</v>
      </c>
      <c r="C185" t="s">
        <v>19</v>
      </c>
      <c r="D185" t="s">
        <v>37</v>
      </c>
      <c r="E185" t="s">
        <v>27</v>
      </c>
      <c r="F185" t="s">
        <v>31</v>
      </c>
      <c r="G185" t="s">
        <v>23</v>
      </c>
      <c r="H185" s="3">
        <v>72115</v>
      </c>
      <c r="I185" s="3">
        <v>44086</v>
      </c>
      <c r="J185" s="3">
        <v>32973</v>
      </c>
      <c r="K185" s="3">
        <v>1544</v>
      </c>
      <c r="L185" s="3">
        <v>255</v>
      </c>
      <c r="M185" s="3">
        <v>264</v>
      </c>
      <c r="N185" s="3">
        <v>245</v>
      </c>
      <c r="O185" s="3">
        <v>369</v>
      </c>
      <c r="P185" s="3"/>
      <c r="Q185" s="3">
        <v>2308</v>
      </c>
      <c r="R185" s="4">
        <v>7</v>
      </c>
      <c r="S185" s="6">
        <f>GlowNestSocialTable3[[#This Row],[Link Clicks]]/GlowNestSocialTable3[[#This Row],[Reach]]</f>
        <v>1.1190974433627513E-2</v>
      </c>
    </row>
    <row r="186" spans="1:19">
      <c r="A186" t="s">
        <v>220</v>
      </c>
      <c r="B186" s="2">
        <v>45768</v>
      </c>
      <c r="C186" t="s">
        <v>36</v>
      </c>
      <c r="D186" t="s">
        <v>34</v>
      </c>
      <c r="E186" t="s">
        <v>49</v>
      </c>
      <c r="F186" t="s">
        <v>44</v>
      </c>
      <c r="G186" t="s">
        <v>23</v>
      </c>
      <c r="H186" s="3">
        <v>84415</v>
      </c>
      <c r="I186" s="3">
        <v>49020</v>
      </c>
      <c r="J186" s="3">
        <v>35900</v>
      </c>
      <c r="K186" s="3">
        <v>456</v>
      </c>
      <c r="L186" s="3">
        <v>46</v>
      </c>
      <c r="M186" s="3">
        <v>39</v>
      </c>
      <c r="N186" s="3">
        <v>52</v>
      </c>
      <c r="O186" s="3">
        <v>160</v>
      </c>
      <c r="P186" s="3"/>
      <c r="Q186" s="3">
        <v>593</v>
      </c>
      <c r="R186" s="4">
        <v>1.65</v>
      </c>
      <c r="S186" s="6">
        <f>GlowNestSocialTable3[[#This Row],[Link Clicks]]/GlowNestSocialTable3[[#This Row],[Reach]]</f>
        <v>4.4568245125348191E-3</v>
      </c>
    </row>
    <row r="187" spans="1:19">
      <c r="A187" t="s">
        <v>221</v>
      </c>
      <c r="B187" s="2">
        <v>45769</v>
      </c>
      <c r="C187" t="s">
        <v>19</v>
      </c>
      <c r="D187" t="s">
        <v>20</v>
      </c>
      <c r="E187" t="s">
        <v>25</v>
      </c>
      <c r="F187" t="s">
        <v>44</v>
      </c>
      <c r="G187" t="s">
        <v>23</v>
      </c>
      <c r="H187" s="3">
        <v>69969</v>
      </c>
      <c r="I187" s="3">
        <v>43833</v>
      </c>
      <c r="J187" s="3">
        <v>38689</v>
      </c>
      <c r="K187" s="3">
        <v>934</v>
      </c>
      <c r="L187" s="3">
        <v>138</v>
      </c>
      <c r="M187" s="3">
        <v>108</v>
      </c>
      <c r="N187" s="3">
        <v>273</v>
      </c>
      <c r="O187" s="3">
        <v>334</v>
      </c>
      <c r="P187" s="3">
        <v>33781</v>
      </c>
      <c r="Q187" s="3">
        <v>1453</v>
      </c>
      <c r="R187" s="4">
        <v>3.76</v>
      </c>
      <c r="S187" s="6">
        <f>GlowNestSocialTable3[[#This Row],[Link Clicks]]/GlowNestSocialTable3[[#This Row],[Reach]]</f>
        <v>8.6329447646617905E-3</v>
      </c>
    </row>
    <row r="188" spans="1:19">
      <c r="A188" t="s">
        <v>222</v>
      </c>
      <c r="B188" s="2">
        <v>45769</v>
      </c>
      <c r="C188" t="s">
        <v>19</v>
      </c>
      <c r="D188" t="s">
        <v>30</v>
      </c>
      <c r="E188" t="s">
        <v>25</v>
      </c>
      <c r="F188" t="s">
        <v>31</v>
      </c>
      <c r="G188" t="s">
        <v>23</v>
      </c>
      <c r="H188" s="3">
        <v>68994</v>
      </c>
      <c r="I188" s="3">
        <v>28659</v>
      </c>
      <c r="J188" s="3">
        <v>24892</v>
      </c>
      <c r="K188" s="3">
        <v>411</v>
      </c>
      <c r="L188" s="3">
        <v>56</v>
      </c>
      <c r="M188" s="3">
        <v>54</v>
      </c>
      <c r="N188" s="3">
        <v>60</v>
      </c>
      <c r="O188" s="3">
        <v>156</v>
      </c>
      <c r="P188" s="3"/>
      <c r="Q188" s="3">
        <v>581</v>
      </c>
      <c r="R188" s="4">
        <v>2.33</v>
      </c>
      <c r="S188" s="6">
        <f>GlowNestSocialTable3[[#This Row],[Link Clicks]]/GlowNestSocialTable3[[#This Row],[Reach]]</f>
        <v>6.2670737586373133E-3</v>
      </c>
    </row>
    <row r="189" spans="1:19">
      <c r="A189" t="s">
        <v>223</v>
      </c>
      <c r="B189" s="2">
        <v>45770</v>
      </c>
      <c r="C189" t="s">
        <v>33</v>
      </c>
      <c r="D189" t="s">
        <v>34</v>
      </c>
      <c r="E189" t="s">
        <v>25</v>
      </c>
      <c r="F189" t="s">
        <v>22</v>
      </c>
      <c r="G189" t="s">
        <v>23</v>
      </c>
      <c r="H189" s="3">
        <v>33622</v>
      </c>
      <c r="I189" s="3">
        <v>13025</v>
      </c>
      <c r="J189" s="3">
        <v>8563</v>
      </c>
      <c r="K189" s="3">
        <v>104</v>
      </c>
      <c r="L189" s="3">
        <v>15</v>
      </c>
      <c r="M189" s="3">
        <v>13</v>
      </c>
      <c r="N189" s="3">
        <v>10</v>
      </c>
      <c r="O189" s="3">
        <v>112</v>
      </c>
      <c r="P189" s="3"/>
      <c r="Q189" s="3">
        <v>142</v>
      </c>
      <c r="R189" s="4">
        <v>1.66</v>
      </c>
      <c r="S189" s="6">
        <f>GlowNestSocialTable3[[#This Row],[Link Clicks]]/GlowNestSocialTable3[[#This Row],[Reach]]</f>
        <v>1.3079528202732687E-2</v>
      </c>
    </row>
    <row r="190" spans="1:19">
      <c r="A190" t="s">
        <v>224</v>
      </c>
      <c r="B190" s="2">
        <v>45771</v>
      </c>
      <c r="C190" t="s">
        <v>19</v>
      </c>
      <c r="D190" t="s">
        <v>20</v>
      </c>
      <c r="E190" t="s">
        <v>27</v>
      </c>
      <c r="F190" t="s">
        <v>31</v>
      </c>
      <c r="G190" t="s">
        <v>23</v>
      </c>
      <c r="H190" s="3">
        <v>71271</v>
      </c>
      <c r="I190" s="3">
        <v>53216</v>
      </c>
      <c r="J190" s="3">
        <v>37721</v>
      </c>
      <c r="K190" s="3">
        <v>2412</v>
      </c>
      <c r="L190" s="3">
        <v>334</v>
      </c>
      <c r="M190" s="3">
        <v>336</v>
      </c>
      <c r="N190" s="3">
        <v>305</v>
      </c>
      <c r="O190" s="3">
        <v>614</v>
      </c>
      <c r="P190" s="3">
        <v>32856</v>
      </c>
      <c r="Q190" s="3">
        <v>3387</v>
      </c>
      <c r="R190" s="4">
        <v>8.98</v>
      </c>
      <c r="S190" s="6">
        <f>GlowNestSocialTable3[[#This Row],[Link Clicks]]/GlowNestSocialTable3[[#This Row],[Reach]]</f>
        <v>1.6277405158930038E-2</v>
      </c>
    </row>
    <row r="191" spans="1:19">
      <c r="A191" t="s">
        <v>225</v>
      </c>
      <c r="B191" s="2">
        <v>45771</v>
      </c>
      <c r="C191" t="s">
        <v>33</v>
      </c>
      <c r="D191" t="s">
        <v>34</v>
      </c>
      <c r="E191" t="s">
        <v>25</v>
      </c>
      <c r="F191" t="s">
        <v>28</v>
      </c>
      <c r="G191" t="s">
        <v>23</v>
      </c>
      <c r="H191" s="3">
        <v>33168</v>
      </c>
      <c r="I191" s="3">
        <v>8551</v>
      </c>
      <c r="J191" s="3">
        <v>7325</v>
      </c>
      <c r="K191" s="3">
        <v>105</v>
      </c>
      <c r="L191" s="3">
        <v>10</v>
      </c>
      <c r="M191" s="3">
        <v>14</v>
      </c>
      <c r="N191" s="3">
        <v>4</v>
      </c>
      <c r="O191" s="3">
        <v>74</v>
      </c>
      <c r="P191" s="3"/>
      <c r="Q191" s="3">
        <v>133</v>
      </c>
      <c r="R191" s="4">
        <v>1.82</v>
      </c>
      <c r="S191" s="6">
        <f>GlowNestSocialTable3[[#This Row],[Link Clicks]]/GlowNestSocialTable3[[#This Row],[Reach]]</f>
        <v>1.0102389078498293E-2</v>
      </c>
    </row>
    <row r="192" spans="1:19">
      <c r="A192" t="s">
        <v>226</v>
      </c>
      <c r="B192" s="2">
        <v>45772</v>
      </c>
      <c r="C192" t="s">
        <v>19</v>
      </c>
      <c r="D192" t="s">
        <v>30</v>
      </c>
      <c r="E192" t="s">
        <v>46</v>
      </c>
      <c r="F192" t="s">
        <v>42</v>
      </c>
      <c r="G192" t="s">
        <v>23</v>
      </c>
      <c r="H192" s="3">
        <v>66135</v>
      </c>
      <c r="I192" s="3">
        <v>21934</v>
      </c>
      <c r="J192" s="3">
        <v>16830</v>
      </c>
      <c r="K192" s="3">
        <v>638</v>
      </c>
      <c r="L192" s="3">
        <v>93</v>
      </c>
      <c r="M192" s="3">
        <v>100</v>
      </c>
      <c r="N192" s="3">
        <v>35</v>
      </c>
      <c r="O192" s="3">
        <v>226</v>
      </c>
      <c r="P192" s="3"/>
      <c r="Q192" s="3">
        <v>866</v>
      </c>
      <c r="R192" s="4">
        <v>5.15</v>
      </c>
      <c r="S192" s="6">
        <f>GlowNestSocialTable3[[#This Row],[Link Clicks]]/GlowNestSocialTable3[[#This Row],[Reach]]</f>
        <v>1.3428401663695782E-2</v>
      </c>
    </row>
    <row r="193" spans="1:19">
      <c r="A193" t="s">
        <v>227</v>
      </c>
      <c r="B193" s="2">
        <v>45772</v>
      </c>
      <c r="C193" t="s">
        <v>33</v>
      </c>
      <c r="D193" t="s">
        <v>20</v>
      </c>
      <c r="E193" t="s">
        <v>27</v>
      </c>
      <c r="F193" t="s">
        <v>22</v>
      </c>
      <c r="G193" t="s">
        <v>38</v>
      </c>
      <c r="H193" s="3">
        <v>32390</v>
      </c>
      <c r="I193" s="3">
        <v>28000</v>
      </c>
      <c r="J193" s="3">
        <v>21202</v>
      </c>
      <c r="K193" s="3">
        <v>780</v>
      </c>
      <c r="L193" s="3">
        <v>98</v>
      </c>
      <c r="M193" s="3">
        <v>70</v>
      </c>
      <c r="N193" s="3">
        <v>180</v>
      </c>
      <c r="O193" s="3">
        <v>292</v>
      </c>
      <c r="P193" s="3">
        <v>12702</v>
      </c>
      <c r="Q193" s="3">
        <v>1128</v>
      </c>
      <c r="R193" s="4">
        <v>5.32</v>
      </c>
      <c r="S193" s="6">
        <f>GlowNestSocialTable3[[#This Row],[Link Clicks]]/GlowNestSocialTable3[[#This Row],[Reach]]</f>
        <v>1.3772285633430808E-2</v>
      </c>
    </row>
    <row r="194" spans="1:19">
      <c r="A194" t="s">
        <v>228</v>
      </c>
      <c r="B194" s="2">
        <v>45773</v>
      </c>
      <c r="C194" t="s">
        <v>19</v>
      </c>
      <c r="D194" t="s">
        <v>20</v>
      </c>
      <c r="E194" t="s">
        <v>27</v>
      </c>
      <c r="F194" t="s">
        <v>44</v>
      </c>
      <c r="G194" t="s">
        <v>23</v>
      </c>
      <c r="H194" s="3">
        <v>71515</v>
      </c>
      <c r="I194" s="3">
        <v>41510</v>
      </c>
      <c r="J194" s="3">
        <v>34064</v>
      </c>
      <c r="K194" s="3">
        <v>2021</v>
      </c>
      <c r="L194" s="3">
        <v>293</v>
      </c>
      <c r="M194" s="3">
        <v>313</v>
      </c>
      <c r="N194" s="3">
        <v>103</v>
      </c>
      <c r="O194" s="3">
        <v>474</v>
      </c>
      <c r="P194" s="3">
        <v>25354</v>
      </c>
      <c r="Q194" s="3">
        <v>2730</v>
      </c>
      <c r="R194" s="4">
        <v>8.01</v>
      </c>
      <c r="S194" s="6">
        <f>GlowNestSocialTable3[[#This Row],[Link Clicks]]/GlowNestSocialTable3[[#This Row],[Reach]]</f>
        <v>1.3914983560356975E-2</v>
      </c>
    </row>
    <row r="195" spans="1:19">
      <c r="A195" t="s">
        <v>229</v>
      </c>
      <c r="B195" s="2">
        <v>45774</v>
      </c>
      <c r="C195" t="s">
        <v>19</v>
      </c>
      <c r="D195" t="s">
        <v>20</v>
      </c>
      <c r="E195" t="s">
        <v>25</v>
      </c>
      <c r="F195" t="s">
        <v>22</v>
      </c>
      <c r="G195" t="s">
        <v>23</v>
      </c>
      <c r="H195" s="3">
        <v>68709</v>
      </c>
      <c r="I195" s="3">
        <v>37852</v>
      </c>
      <c r="J195" s="3">
        <v>29879</v>
      </c>
      <c r="K195" s="3">
        <v>934</v>
      </c>
      <c r="L195" s="3">
        <v>158</v>
      </c>
      <c r="M195" s="3">
        <v>79</v>
      </c>
      <c r="N195" s="3">
        <v>103</v>
      </c>
      <c r="O195" s="3">
        <v>209</v>
      </c>
      <c r="P195" s="3">
        <v>21252</v>
      </c>
      <c r="Q195" s="3">
        <v>1274</v>
      </c>
      <c r="R195" s="4">
        <v>4.26</v>
      </c>
      <c r="S195" s="6">
        <f>GlowNestSocialTable3[[#This Row],[Link Clicks]]/GlowNestSocialTable3[[#This Row],[Reach]]</f>
        <v>6.9948793466983504E-3</v>
      </c>
    </row>
    <row r="196" spans="1:19">
      <c r="A196" t="s">
        <v>230</v>
      </c>
      <c r="B196" s="2">
        <v>45774</v>
      </c>
      <c r="C196" t="s">
        <v>33</v>
      </c>
      <c r="D196" t="s">
        <v>20</v>
      </c>
      <c r="E196" t="s">
        <v>21</v>
      </c>
      <c r="F196" t="s">
        <v>42</v>
      </c>
      <c r="G196" t="s">
        <v>38</v>
      </c>
      <c r="H196" s="3">
        <v>32097</v>
      </c>
      <c r="I196" s="3">
        <v>29670</v>
      </c>
      <c r="J196" s="3">
        <v>19192</v>
      </c>
      <c r="K196" s="3">
        <v>519</v>
      </c>
      <c r="L196" s="3">
        <v>77</v>
      </c>
      <c r="M196" s="3">
        <v>77</v>
      </c>
      <c r="N196" s="3">
        <v>171</v>
      </c>
      <c r="O196" s="3">
        <v>235</v>
      </c>
      <c r="P196" s="3">
        <v>13934</v>
      </c>
      <c r="Q196" s="3">
        <v>844</v>
      </c>
      <c r="R196" s="4">
        <v>4.4000000000000004</v>
      </c>
      <c r="S196" s="6">
        <f>GlowNestSocialTable3[[#This Row],[Link Clicks]]/GlowNestSocialTable3[[#This Row],[Reach]]</f>
        <v>1.224468528553564E-2</v>
      </c>
    </row>
    <row r="197" spans="1:19">
      <c r="A197" t="s">
        <v>231</v>
      </c>
      <c r="B197" s="2">
        <v>45775</v>
      </c>
      <c r="C197" t="s">
        <v>19</v>
      </c>
      <c r="D197" t="s">
        <v>20</v>
      </c>
      <c r="E197" t="s">
        <v>27</v>
      </c>
      <c r="F197" t="s">
        <v>31</v>
      </c>
      <c r="G197" t="s">
        <v>23</v>
      </c>
      <c r="H197" s="3">
        <v>70715</v>
      </c>
      <c r="I197" s="3">
        <v>51287</v>
      </c>
      <c r="J197" s="3">
        <v>34566</v>
      </c>
      <c r="K197" s="3">
        <v>2041</v>
      </c>
      <c r="L197" s="3">
        <v>240</v>
      </c>
      <c r="M197" s="3">
        <v>331</v>
      </c>
      <c r="N197" s="3">
        <v>647</v>
      </c>
      <c r="O197" s="3">
        <v>409</v>
      </c>
      <c r="P197" s="3">
        <v>24377</v>
      </c>
      <c r="Q197" s="3">
        <v>3259</v>
      </c>
      <c r="R197" s="4">
        <v>9.43</v>
      </c>
      <c r="S197" s="6">
        <f>GlowNestSocialTable3[[#This Row],[Link Clicks]]/GlowNestSocialTable3[[#This Row],[Reach]]</f>
        <v>1.183243649829312E-2</v>
      </c>
    </row>
    <row r="198" spans="1:19">
      <c r="A198" t="s">
        <v>232</v>
      </c>
      <c r="B198" s="2">
        <v>45775</v>
      </c>
      <c r="C198" t="s">
        <v>36</v>
      </c>
      <c r="D198" t="s">
        <v>30</v>
      </c>
      <c r="E198" t="s">
        <v>27</v>
      </c>
      <c r="F198" t="s">
        <v>31</v>
      </c>
      <c r="G198" t="s">
        <v>23</v>
      </c>
      <c r="H198" s="3">
        <v>83748</v>
      </c>
      <c r="I198" s="3">
        <v>31202</v>
      </c>
      <c r="J198" s="3">
        <v>27040</v>
      </c>
      <c r="K198" s="3">
        <v>494</v>
      </c>
      <c r="L198" s="3">
        <v>78</v>
      </c>
      <c r="M198" s="3">
        <v>59</v>
      </c>
      <c r="N198" s="3">
        <v>97</v>
      </c>
      <c r="O198" s="3">
        <v>109</v>
      </c>
      <c r="P198" s="3"/>
      <c r="Q198" s="3">
        <v>728</v>
      </c>
      <c r="R198" s="4">
        <v>2.69</v>
      </c>
      <c r="S198" s="6">
        <f>GlowNestSocialTable3[[#This Row],[Link Clicks]]/GlowNestSocialTable3[[#This Row],[Reach]]</f>
        <v>4.0310650887573967E-3</v>
      </c>
    </row>
    <row r="199" spans="1:19">
      <c r="A199" t="s">
        <v>233</v>
      </c>
      <c r="B199" s="2">
        <v>45776</v>
      </c>
      <c r="C199" t="s">
        <v>36</v>
      </c>
      <c r="D199" t="s">
        <v>34</v>
      </c>
      <c r="E199" t="s">
        <v>27</v>
      </c>
      <c r="F199" t="s">
        <v>44</v>
      </c>
      <c r="G199" t="s">
        <v>23</v>
      </c>
      <c r="H199" s="3">
        <v>84447</v>
      </c>
      <c r="I199" s="3">
        <v>53550</v>
      </c>
      <c r="J199" s="3">
        <v>40611</v>
      </c>
      <c r="K199" s="3">
        <v>608</v>
      </c>
      <c r="L199" s="3">
        <v>72</v>
      </c>
      <c r="M199" s="3">
        <v>73</v>
      </c>
      <c r="N199" s="3">
        <v>113</v>
      </c>
      <c r="O199" s="3">
        <v>212</v>
      </c>
      <c r="P199" s="3"/>
      <c r="Q199" s="3">
        <v>866</v>
      </c>
      <c r="R199" s="4">
        <v>2.13</v>
      </c>
      <c r="S199" s="6">
        <f>GlowNestSocialTable3[[#This Row],[Link Clicks]]/GlowNestSocialTable3[[#This Row],[Reach]]</f>
        <v>5.2202605205486198E-3</v>
      </c>
    </row>
    <row r="200" spans="1:19">
      <c r="A200" t="s">
        <v>234</v>
      </c>
      <c r="B200" s="2">
        <v>45777</v>
      </c>
      <c r="C200" t="s">
        <v>19</v>
      </c>
      <c r="D200" t="s">
        <v>30</v>
      </c>
      <c r="E200" t="s">
        <v>49</v>
      </c>
      <c r="F200" t="s">
        <v>22</v>
      </c>
      <c r="G200" t="s">
        <v>235</v>
      </c>
      <c r="H200" s="3">
        <v>69880</v>
      </c>
      <c r="I200" s="3">
        <v>27985</v>
      </c>
      <c r="J200" s="3">
        <v>22992</v>
      </c>
      <c r="K200" s="3">
        <v>843</v>
      </c>
      <c r="L200" s="3">
        <v>110</v>
      </c>
      <c r="M200" s="3">
        <v>93</v>
      </c>
      <c r="N200" s="3">
        <v>87</v>
      </c>
      <c r="O200" s="3">
        <v>147</v>
      </c>
      <c r="P200" s="3"/>
      <c r="Q200" s="3">
        <v>1133</v>
      </c>
      <c r="R200" s="4">
        <v>4.93</v>
      </c>
      <c r="S200" s="6">
        <f>GlowNestSocialTable3[[#This Row],[Link Clicks]]/GlowNestSocialTable3[[#This Row],[Reach]]</f>
        <v>6.3935281837160752E-3</v>
      </c>
    </row>
    <row r="201" spans="1:19">
      <c r="A201" t="s">
        <v>236</v>
      </c>
      <c r="B201" s="2">
        <v>45777</v>
      </c>
      <c r="C201" t="s">
        <v>19</v>
      </c>
      <c r="D201" t="s">
        <v>20</v>
      </c>
      <c r="E201" t="s">
        <v>25</v>
      </c>
      <c r="F201" t="s">
        <v>44</v>
      </c>
      <c r="G201" t="s">
        <v>23</v>
      </c>
      <c r="H201" s="3">
        <v>70394</v>
      </c>
      <c r="I201" s="3">
        <v>26902</v>
      </c>
      <c r="J201" s="3">
        <v>23606</v>
      </c>
      <c r="K201" s="3">
        <v>753</v>
      </c>
      <c r="L201" s="3">
        <v>115</v>
      </c>
      <c r="M201" s="3">
        <v>137</v>
      </c>
      <c r="N201" s="3">
        <v>159</v>
      </c>
      <c r="O201" s="3">
        <v>197</v>
      </c>
      <c r="P201" s="3">
        <v>16388</v>
      </c>
      <c r="Q201" s="3">
        <v>1164</v>
      </c>
      <c r="R201" s="4">
        <v>4.93</v>
      </c>
      <c r="S201" s="6">
        <f>GlowNestSocialTable3[[#This Row],[Link Clicks]]/GlowNestSocialTable3[[#This Row],[Reach]]</f>
        <v>8.3453359315428279E-3</v>
      </c>
    </row>
    <row r="202" spans="1:19">
      <c r="A202" t="s">
        <v>237</v>
      </c>
      <c r="B202" s="2">
        <v>45778</v>
      </c>
      <c r="C202" t="s">
        <v>19</v>
      </c>
      <c r="D202" t="s">
        <v>37</v>
      </c>
      <c r="E202" t="s">
        <v>25</v>
      </c>
      <c r="F202" t="s">
        <v>22</v>
      </c>
      <c r="G202" t="s">
        <v>23</v>
      </c>
      <c r="H202" s="3">
        <v>70749</v>
      </c>
      <c r="I202" s="3">
        <v>26709</v>
      </c>
      <c r="J202" s="3">
        <v>23324</v>
      </c>
      <c r="K202" s="3">
        <v>528</v>
      </c>
      <c r="L202" s="3">
        <v>95</v>
      </c>
      <c r="M202" s="3">
        <v>75</v>
      </c>
      <c r="N202" s="3">
        <v>55</v>
      </c>
      <c r="O202" s="3">
        <v>204</v>
      </c>
      <c r="P202" s="3"/>
      <c r="Q202" s="3">
        <v>753</v>
      </c>
      <c r="R202" s="4">
        <v>3.23</v>
      </c>
      <c r="S202" s="6">
        <f>GlowNestSocialTable3[[#This Row],[Link Clicks]]/GlowNestSocialTable3[[#This Row],[Reach]]</f>
        <v>8.7463556851311956E-3</v>
      </c>
    </row>
    <row r="203" spans="1:19">
      <c r="A203" t="s">
        <v>238</v>
      </c>
      <c r="B203" s="2">
        <v>45778</v>
      </c>
      <c r="C203" t="s">
        <v>36</v>
      </c>
      <c r="D203" t="s">
        <v>20</v>
      </c>
      <c r="E203" t="s">
        <v>21</v>
      </c>
      <c r="F203" t="s">
        <v>42</v>
      </c>
      <c r="G203" t="s">
        <v>23</v>
      </c>
      <c r="H203" s="3">
        <v>85618</v>
      </c>
      <c r="I203" s="3">
        <v>46056</v>
      </c>
      <c r="J203" s="3">
        <v>40599</v>
      </c>
      <c r="K203" s="3">
        <v>1073</v>
      </c>
      <c r="L203" s="3">
        <v>147</v>
      </c>
      <c r="M203" s="3">
        <v>102</v>
      </c>
      <c r="N203" s="3">
        <v>213</v>
      </c>
      <c r="O203" s="3">
        <v>155</v>
      </c>
      <c r="P203" s="3">
        <v>28740</v>
      </c>
      <c r="Q203" s="3">
        <v>1535</v>
      </c>
      <c r="R203" s="4">
        <v>3.78</v>
      </c>
      <c r="S203" s="6">
        <f>GlowNestSocialTable3[[#This Row],[Link Clicks]]/GlowNestSocialTable3[[#This Row],[Reach]]</f>
        <v>3.8178280253208206E-3</v>
      </c>
    </row>
    <row r="204" spans="1:19">
      <c r="A204" t="s">
        <v>239</v>
      </c>
      <c r="B204" s="2">
        <v>45779</v>
      </c>
      <c r="C204" t="s">
        <v>19</v>
      </c>
      <c r="D204" t="s">
        <v>34</v>
      </c>
      <c r="E204" t="s">
        <v>25</v>
      </c>
      <c r="F204" t="s">
        <v>44</v>
      </c>
      <c r="G204" t="s">
        <v>23</v>
      </c>
      <c r="H204" s="3">
        <v>71197</v>
      </c>
      <c r="I204" s="3">
        <v>25871</v>
      </c>
      <c r="J204" s="3">
        <v>21943</v>
      </c>
      <c r="K204" s="3">
        <v>469</v>
      </c>
      <c r="L204" s="3">
        <v>82</v>
      </c>
      <c r="M204" s="3">
        <v>47</v>
      </c>
      <c r="N204" s="3">
        <v>41</v>
      </c>
      <c r="O204" s="3">
        <v>260</v>
      </c>
      <c r="P204" s="3"/>
      <c r="Q204" s="3">
        <v>639</v>
      </c>
      <c r="R204" s="4">
        <v>2.91</v>
      </c>
      <c r="S204" s="6">
        <f>GlowNestSocialTable3[[#This Row],[Link Clicks]]/GlowNestSocialTable3[[#This Row],[Reach]]</f>
        <v>1.1848881192179738E-2</v>
      </c>
    </row>
    <row r="205" spans="1:19">
      <c r="A205" t="s">
        <v>240</v>
      </c>
      <c r="B205" s="2">
        <v>45780</v>
      </c>
      <c r="C205" t="s">
        <v>19</v>
      </c>
      <c r="D205" t="s">
        <v>37</v>
      </c>
      <c r="E205" t="s">
        <v>25</v>
      </c>
      <c r="F205" t="s">
        <v>28</v>
      </c>
      <c r="G205" t="s">
        <v>23</v>
      </c>
      <c r="H205" s="3">
        <v>70767</v>
      </c>
      <c r="I205" s="3">
        <v>25628</v>
      </c>
      <c r="J205" s="3">
        <v>19558</v>
      </c>
      <c r="K205" s="3">
        <v>596</v>
      </c>
      <c r="L205" s="3">
        <v>107</v>
      </c>
      <c r="M205" s="3">
        <v>71</v>
      </c>
      <c r="N205" s="3">
        <v>127</v>
      </c>
      <c r="O205" s="3">
        <v>130</v>
      </c>
      <c r="P205" s="3"/>
      <c r="Q205" s="3">
        <v>901</v>
      </c>
      <c r="R205" s="4">
        <v>4.6100000000000003</v>
      </c>
      <c r="S205" s="6">
        <f>GlowNestSocialTable3[[#This Row],[Link Clicks]]/GlowNestSocialTable3[[#This Row],[Reach]]</f>
        <v>6.6468964106759379E-3</v>
      </c>
    </row>
    <row r="206" spans="1:19">
      <c r="A206" t="s">
        <v>241</v>
      </c>
      <c r="B206" s="2">
        <v>45780</v>
      </c>
      <c r="C206" t="s">
        <v>19</v>
      </c>
      <c r="D206" t="s">
        <v>34</v>
      </c>
      <c r="E206" t="s">
        <v>25</v>
      </c>
      <c r="F206" t="s">
        <v>44</v>
      </c>
      <c r="G206" t="s">
        <v>23</v>
      </c>
      <c r="H206" s="3">
        <v>69544</v>
      </c>
      <c r="I206" s="3">
        <v>33671</v>
      </c>
      <c r="J206" s="3">
        <v>23853</v>
      </c>
      <c r="K206" s="3">
        <v>577</v>
      </c>
      <c r="L206" s="3">
        <v>64</v>
      </c>
      <c r="M206" s="3">
        <v>87</v>
      </c>
      <c r="N206" s="3">
        <v>20</v>
      </c>
      <c r="O206" s="3">
        <v>197</v>
      </c>
      <c r="P206" s="3"/>
      <c r="Q206" s="3">
        <v>748</v>
      </c>
      <c r="R206" s="4">
        <v>3.14</v>
      </c>
      <c r="S206" s="6">
        <f>GlowNestSocialTable3[[#This Row],[Link Clicks]]/GlowNestSocialTable3[[#This Row],[Reach]]</f>
        <v>8.2589192135161197E-3</v>
      </c>
    </row>
    <row r="207" spans="1:19">
      <c r="A207" t="s">
        <v>242</v>
      </c>
      <c r="B207" s="2">
        <v>45781</v>
      </c>
      <c r="C207" t="s">
        <v>33</v>
      </c>
      <c r="D207" t="s">
        <v>34</v>
      </c>
      <c r="E207" t="s">
        <v>21</v>
      </c>
      <c r="F207" t="s">
        <v>28</v>
      </c>
      <c r="G207" t="s">
        <v>23</v>
      </c>
      <c r="H207" s="3">
        <v>32966</v>
      </c>
      <c r="I207" s="3">
        <v>6011</v>
      </c>
      <c r="J207" s="3">
        <v>5363</v>
      </c>
      <c r="K207" s="3">
        <v>124</v>
      </c>
      <c r="L207" s="3">
        <v>19</v>
      </c>
      <c r="M207" s="3">
        <v>16</v>
      </c>
      <c r="N207" s="3">
        <v>23</v>
      </c>
      <c r="O207" s="3">
        <v>63</v>
      </c>
      <c r="P207" s="3"/>
      <c r="Q207" s="3">
        <v>182</v>
      </c>
      <c r="R207" s="4">
        <v>3.39</v>
      </c>
      <c r="S207" s="6">
        <f>GlowNestSocialTable3[[#This Row],[Link Clicks]]/GlowNestSocialTable3[[#This Row],[Reach]]</f>
        <v>1.1747156442289764E-2</v>
      </c>
    </row>
    <row r="208" spans="1:19">
      <c r="A208" t="s">
        <v>243</v>
      </c>
      <c r="B208" s="2">
        <v>45781</v>
      </c>
      <c r="C208" t="s">
        <v>19</v>
      </c>
      <c r="D208" t="s">
        <v>37</v>
      </c>
      <c r="E208" t="s">
        <v>46</v>
      </c>
      <c r="F208" t="s">
        <v>22</v>
      </c>
      <c r="G208" t="s">
        <v>23</v>
      </c>
      <c r="H208" s="3">
        <v>69789</v>
      </c>
      <c r="I208" s="3">
        <v>25595</v>
      </c>
      <c r="J208" s="3">
        <v>17743</v>
      </c>
      <c r="K208" s="3">
        <v>555</v>
      </c>
      <c r="L208" s="3">
        <v>95</v>
      </c>
      <c r="M208" s="3">
        <v>79</v>
      </c>
      <c r="N208" s="3">
        <v>147</v>
      </c>
      <c r="O208" s="3">
        <v>262</v>
      </c>
      <c r="P208" s="3"/>
      <c r="Q208" s="3">
        <v>876</v>
      </c>
      <c r="R208" s="4">
        <v>4.9400000000000004</v>
      </c>
      <c r="S208" s="6">
        <f>GlowNestSocialTable3[[#This Row],[Link Clicks]]/GlowNestSocialTable3[[#This Row],[Reach]]</f>
        <v>1.4766386744068083E-2</v>
      </c>
    </row>
    <row r="209" spans="1:19">
      <c r="A209" t="s">
        <v>244</v>
      </c>
      <c r="B209" s="2">
        <v>45782</v>
      </c>
      <c r="C209" t="s">
        <v>19</v>
      </c>
      <c r="D209" t="s">
        <v>20</v>
      </c>
      <c r="E209" t="s">
        <v>46</v>
      </c>
      <c r="F209" t="s">
        <v>28</v>
      </c>
      <c r="G209" t="s">
        <v>23</v>
      </c>
      <c r="H209" s="3">
        <v>71467</v>
      </c>
      <c r="I209" s="3">
        <v>40206</v>
      </c>
      <c r="J209" s="3">
        <v>28228</v>
      </c>
      <c r="K209" s="3">
        <v>1268</v>
      </c>
      <c r="L209" s="3">
        <v>208</v>
      </c>
      <c r="M209" s="3">
        <v>178</v>
      </c>
      <c r="N209" s="3">
        <v>133</v>
      </c>
      <c r="O209" s="3">
        <v>351</v>
      </c>
      <c r="P209" s="3">
        <v>21092</v>
      </c>
      <c r="Q209" s="3">
        <v>1787</v>
      </c>
      <c r="R209" s="4">
        <v>6.33</v>
      </c>
      <c r="S209" s="6">
        <f>GlowNestSocialTable3[[#This Row],[Link Clicks]]/GlowNestSocialTable3[[#This Row],[Reach]]</f>
        <v>1.2434462236077654E-2</v>
      </c>
    </row>
    <row r="210" spans="1:19">
      <c r="A210" t="s">
        <v>245</v>
      </c>
      <c r="B210" s="2">
        <v>45783</v>
      </c>
      <c r="C210" t="s">
        <v>19</v>
      </c>
      <c r="D210" t="s">
        <v>30</v>
      </c>
      <c r="E210" t="s">
        <v>21</v>
      </c>
      <c r="F210" t="s">
        <v>22</v>
      </c>
      <c r="G210" t="s">
        <v>23</v>
      </c>
      <c r="H210" s="3">
        <v>69373</v>
      </c>
      <c r="I210" s="3">
        <v>22751</v>
      </c>
      <c r="J210" s="3">
        <v>16306</v>
      </c>
      <c r="K210" s="3">
        <v>498</v>
      </c>
      <c r="L210" s="3">
        <v>61</v>
      </c>
      <c r="M210" s="3">
        <v>65</v>
      </c>
      <c r="N210" s="3">
        <v>98</v>
      </c>
      <c r="O210" s="3">
        <v>120</v>
      </c>
      <c r="P210" s="3"/>
      <c r="Q210" s="3">
        <v>722</v>
      </c>
      <c r="R210" s="4">
        <v>4.43</v>
      </c>
      <c r="S210" s="6">
        <f>GlowNestSocialTable3[[#This Row],[Link Clicks]]/GlowNestSocialTable3[[#This Row],[Reach]]</f>
        <v>7.3592542622347599E-3</v>
      </c>
    </row>
    <row r="211" spans="1:19">
      <c r="A211" t="s">
        <v>246</v>
      </c>
      <c r="B211" s="2">
        <v>45783</v>
      </c>
      <c r="C211" t="s">
        <v>33</v>
      </c>
      <c r="D211" t="s">
        <v>20</v>
      </c>
      <c r="E211" t="s">
        <v>49</v>
      </c>
      <c r="F211" t="s">
        <v>42</v>
      </c>
      <c r="G211" t="s">
        <v>23</v>
      </c>
      <c r="H211" s="3">
        <v>32478</v>
      </c>
      <c r="I211" s="3">
        <v>14086</v>
      </c>
      <c r="J211" s="3">
        <v>12357</v>
      </c>
      <c r="K211" s="3">
        <v>413</v>
      </c>
      <c r="L211" s="3">
        <v>72</v>
      </c>
      <c r="M211" s="3">
        <v>66</v>
      </c>
      <c r="N211" s="3">
        <v>106</v>
      </c>
      <c r="O211" s="3">
        <v>115</v>
      </c>
      <c r="P211" s="3">
        <v>9240</v>
      </c>
      <c r="Q211" s="3">
        <v>657</v>
      </c>
      <c r="R211" s="4">
        <v>5.32</v>
      </c>
      <c r="S211" s="6">
        <f>GlowNestSocialTable3[[#This Row],[Link Clicks]]/GlowNestSocialTable3[[#This Row],[Reach]]</f>
        <v>9.3064659707048636E-3</v>
      </c>
    </row>
    <row r="212" spans="1:19">
      <c r="A212" t="s">
        <v>247</v>
      </c>
      <c r="B212" s="2">
        <v>45784</v>
      </c>
      <c r="C212" t="s">
        <v>19</v>
      </c>
      <c r="D212" t="s">
        <v>37</v>
      </c>
      <c r="E212" t="s">
        <v>49</v>
      </c>
      <c r="F212" t="s">
        <v>22</v>
      </c>
      <c r="G212" t="s">
        <v>23</v>
      </c>
      <c r="H212" s="3">
        <v>73380</v>
      </c>
      <c r="I212" s="3">
        <v>35687</v>
      </c>
      <c r="J212" s="3">
        <v>27851</v>
      </c>
      <c r="K212" s="3">
        <v>1067</v>
      </c>
      <c r="L212" s="3">
        <v>121</v>
      </c>
      <c r="M212" s="3">
        <v>198</v>
      </c>
      <c r="N212" s="3">
        <v>316</v>
      </c>
      <c r="O212" s="3">
        <v>317</v>
      </c>
      <c r="P212" s="3"/>
      <c r="Q212" s="3">
        <v>1702</v>
      </c>
      <c r="R212" s="4">
        <v>6.11</v>
      </c>
      <c r="S212" s="6">
        <f>GlowNestSocialTable3[[#This Row],[Link Clicks]]/GlowNestSocialTable3[[#This Row],[Reach]]</f>
        <v>1.1381997055761013E-2</v>
      </c>
    </row>
    <row r="213" spans="1:19">
      <c r="A213" t="s">
        <v>248</v>
      </c>
      <c r="B213" s="2">
        <v>45785</v>
      </c>
      <c r="C213" t="s">
        <v>19</v>
      </c>
      <c r="D213" t="s">
        <v>20</v>
      </c>
      <c r="E213" t="s">
        <v>25</v>
      </c>
      <c r="F213" t="s">
        <v>28</v>
      </c>
      <c r="G213" t="s">
        <v>23</v>
      </c>
      <c r="H213" s="3">
        <v>71668</v>
      </c>
      <c r="I213" s="3">
        <v>28258</v>
      </c>
      <c r="J213" s="3">
        <v>24166</v>
      </c>
      <c r="K213" s="3">
        <v>892</v>
      </c>
      <c r="L213" s="3">
        <v>175</v>
      </c>
      <c r="M213" s="3">
        <v>97</v>
      </c>
      <c r="N213" s="3">
        <v>183</v>
      </c>
      <c r="O213" s="3">
        <v>156</v>
      </c>
      <c r="P213" s="3">
        <v>20189</v>
      </c>
      <c r="Q213" s="3">
        <v>1347</v>
      </c>
      <c r="R213" s="4">
        <v>5.57</v>
      </c>
      <c r="S213" s="6">
        <f>GlowNestSocialTable3[[#This Row],[Link Clicks]]/GlowNestSocialTable3[[#This Row],[Reach]]</f>
        <v>6.455350492427377E-3</v>
      </c>
    </row>
    <row r="214" spans="1:19">
      <c r="A214" t="s">
        <v>249</v>
      </c>
      <c r="B214" s="2">
        <v>45785</v>
      </c>
      <c r="C214" t="s">
        <v>19</v>
      </c>
      <c r="D214" t="s">
        <v>37</v>
      </c>
      <c r="E214" t="s">
        <v>27</v>
      </c>
      <c r="F214" t="s">
        <v>42</v>
      </c>
      <c r="G214" t="s">
        <v>23</v>
      </c>
      <c r="H214" s="3">
        <v>70956</v>
      </c>
      <c r="I214" s="3">
        <v>31675</v>
      </c>
      <c r="J214" s="3">
        <v>29020</v>
      </c>
      <c r="K214" s="3">
        <v>1484</v>
      </c>
      <c r="L214" s="3">
        <v>177</v>
      </c>
      <c r="M214" s="3">
        <v>227</v>
      </c>
      <c r="N214" s="3">
        <v>391</v>
      </c>
      <c r="O214" s="3">
        <v>298</v>
      </c>
      <c r="P214" s="3"/>
      <c r="Q214" s="3">
        <v>2279</v>
      </c>
      <c r="R214" s="4">
        <v>7.85</v>
      </c>
      <c r="S214" s="6">
        <f>GlowNestSocialTable3[[#This Row],[Link Clicks]]/GlowNestSocialTable3[[#This Row],[Reach]]</f>
        <v>1.0268780151619573E-2</v>
      </c>
    </row>
    <row r="215" spans="1:19">
      <c r="A215" t="s">
        <v>250</v>
      </c>
      <c r="B215" s="2">
        <v>45786</v>
      </c>
      <c r="C215" t="s">
        <v>36</v>
      </c>
      <c r="D215" t="s">
        <v>37</v>
      </c>
      <c r="E215" t="s">
        <v>25</v>
      </c>
      <c r="F215" t="s">
        <v>44</v>
      </c>
      <c r="G215" t="s">
        <v>23</v>
      </c>
      <c r="H215" s="3">
        <v>86367</v>
      </c>
      <c r="I215" s="3">
        <v>51971</v>
      </c>
      <c r="J215" s="3">
        <v>34660</v>
      </c>
      <c r="K215" s="3">
        <v>360</v>
      </c>
      <c r="L215" s="3">
        <v>44</v>
      </c>
      <c r="M215" s="3">
        <v>50</v>
      </c>
      <c r="N215" s="3">
        <v>18</v>
      </c>
      <c r="O215" s="3">
        <v>140</v>
      </c>
      <c r="P215" s="3"/>
      <c r="Q215" s="3">
        <v>472</v>
      </c>
      <c r="R215" s="4">
        <v>1.36</v>
      </c>
      <c r="S215" s="6">
        <f>GlowNestSocialTable3[[#This Row],[Link Clicks]]/GlowNestSocialTable3[[#This Row],[Reach]]</f>
        <v>4.0392383150605884E-3</v>
      </c>
    </row>
    <row r="216" spans="1:19">
      <c r="A216" t="s">
        <v>251</v>
      </c>
      <c r="B216" s="2">
        <v>45786</v>
      </c>
      <c r="C216" t="s">
        <v>19</v>
      </c>
      <c r="D216" t="s">
        <v>20</v>
      </c>
      <c r="E216" t="s">
        <v>27</v>
      </c>
      <c r="F216" t="s">
        <v>22</v>
      </c>
      <c r="G216" t="s">
        <v>23</v>
      </c>
      <c r="H216" s="3">
        <v>73283</v>
      </c>
      <c r="I216" s="3">
        <v>49876</v>
      </c>
      <c r="J216" s="3">
        <v>36195</v>
      </c>
      <c r="K216" s="3">
        <v>2071</v>
      </c>
      <c r="L216" s="3">
        <v>347</v>
      </c>
      <c r="M216" s="3">
        <v>308</v>
      </c>
      <c r="N216" s="3">
        <v>180</v>
      </c>
      <c r="O216" s="3">
        <v>394</v>
      </c>
      <c r="P216" s="3">
        <v>20103</v>
      </c>
      <c r="Q216" s="3">
        <v>2906</v>
      </c>
      <c r="R216" s="4">
        <v>8.0299999999999994</v>
      </c>
      <c r="S216" s="6">
        <f>GlowNestSocialTable3[[#This Row],[Link Clicks]]/GlowNestSocialTable3[[#This Row],[Reach]]</f>
        <v>1.0885481420085647E-2</v>
      </c>
    </row>
    <row r="217" spans="1:19">
      <c r="A217" t="s">
        <v>252</v>
      </c>
      <c r="B217" s="2">
        <v>45787</v>
      </c>
      <c r="C217" t="s">
        <v>19</v>
      </c>
      <c r="D217" t="s">
        <v>30</v>
      </c>
      <c r="E217" t="s">
        <v>49</v>
      </c>
      <c r="F217" t="s">
        <v>42</v>
      </c>
      <c r="G217" t="s">
        <v>23</v>
      </c>
      <c r="H217" s="3">
        <v>69489</v>
      </c>
      <c r="I217" s="3">
        <v>28250</v>
      </c>
      <c r="J217" s="3">
        <v>25879</v>
      </c>
      <c r="K217" s="3">
        <v>908</v>
      </c>
      <c r="L217" s="3">
        <v>114</v>
      </c>
      <c r="M217" s="3">
        <v>127</v>
      </c>
      <c r="N217" s="3">
        <v>46</v>
      </c>
      <c r="O217" s="3">
        <v>217</v>
      </c>
      <c r="P217" s="3"/>
      <c r="Q217" s="3">
        <v>1195</v>
      </c>
      <c r="R217" s="4">
        <v>4.62</v>
      </c>
      <c r="S217" s="6">
        <f>GlowNestSocialTable3[[#This Row],[Link Clicks]]/GlowNestSocialTable3[[#This Row],[Reach]]</f>
        <v>8.3851771706789282E-3</v>
      </c>
    </row>
    <row r="218" spans="1:19">
      <c r="A218" t="s">
        <v>253</v>
      </c>
      <c r="B218" s="2">
        <v>45788</v>
      </c>
      <c r="C218" t="s">
        <v>19</v>
      </c>
      <c r="D218" t="s">
        <v>37</v>
      </c>
      <c r="E218" t="s">
        <v>21</v>
      </c>
      <c r="F218" t="s">
        <v>31</v>
      </c>
      <c r="G218" t="s">
        <v>23</v>
      </c>
      <c r="H218" s="3">
        <v>71623</v>
      </c>
      <c r="I218" s="3">
        <v>23404</v>
      </c>
      <c r="J218" s="3">
        <v>18649</v>
      </c>
      <c r="K218" s="3">
        <v>772</v>
      </c>
      <c r="L218" s="3">
        <v>104</v>
      </c>
      <c r="M218" s="3">
        <v>126</v>
      </c>
      <c r="N218" s="3">
        <v>98</v>
      </c>
      <c r="O218" s="3">
        <v>249</v>
      </c>
      <c r="P218" s="3"/>
      <c r="Q218" s="3">
        <v>1100</v>
      </c>
      <c r="R218" s="4">
        <v>5.9</v>
      </c>
      <c r="S218" s="6">
        <f>GlowNestSocialTable3[[#This Row],[Link Clicks]]/GlowNestSocialTable3[[#This Row],[Reach]]</f>
        <v>1.3351922355086063E-2</v>
      </c>
    </row>
    <row r="219" spans="1:19">
      <c r="A219" t="s">
        <v>254</v>
      </c>
      <c r="B219" s="2">
        <v>45788</v>
      </c>
      <c r="C219" t="s">
        <v>19</v>
      </c>
      <c r="D219" t="s">
        <v>34</v>
      </c>
      <c r="E219" t="s">
        <v>25</v>
      </c>
      <c r="F219" t="s">
        <v>31</v>
      </c>
      <c r="G219" t="s">
        <v>23</v>
      </c>
      <c r="H219" s="3">
        <v>69053</v>
      </c>
      <c r="I219" s="3">
        <v>27234</v>
      </c>
      <c r="J219" s="3">
        <v>18113</v>
      </c>
      <c r="K219" s="3">
        <v>337</v>
      </c>
      <c r="L219" s="3">
        <v>51</v>
      </c>
      <c r="M219" s="3">
        <v>41</v>
      </c>
      <c r="N219" s="3">
        <v>7</v>
      </c>
      <c r="O219" s="3">
        <v>192</v>
      </c>
      <c r="P219" s="3"/>
      <c r="Q219" s="3">
        <v>436</v>
      </c>
      <c r="R219" s="4">
        <v>2.41</v>
      </c>
      <c r="S219" s="6">
        <f>GlowNestSocialTable3[[#This Row],[Link Clicks]]/GlowNestSocialTable3[[#This Row],[Reach]]</f>
        <v>1.0600121459725059E-2</v>
      </c>
    </row>
    <row r="220" spans="1:19">
      <c r="A220" t="s">
        <v>255</v>
      </c>
      <c r="B220" s="2">
        <v>45789</v>
      </c>
      <c r="C220" t="s">
        <v>36</v>
      </c>
      <c r="D220" t="s">
        <v>30</v>
      </c>
      <c r="E220" t="s">
        <v>21</v>
      </c>
      <c r="F220" t="s">
        <v>42</v>
      </c>
      <c r="G220" t="s">
        <v>23</v>
      </c>
      <c r="H220" s="3">
        <v>88031</v>
      </c>
      <c r="I220" s="3">
        <v>45215</v>
      </c>
      <c r="J220" s="3">
        <v>37040</v>
      </c>
      <c r="K220" s="3">
        <v>622</v>
      </c>
      <c r="L220" s="3">
        <v>78</v>
      </c>
      <c r="M220" s="3">
        <v>90</v>
      </c>
      <c r="N220" s="3">
        <v>89</v>
      </c>
      <c r="O220" s="3">
        <v>153</v>
      </c>
      <c r="P220" s="3"/>
      <c r="Q220" s="3">
        <v>879</v>
      </c>
      <c r="R220" s="4">
        <v>2.37</v>
      </c>
      <c r="S220" s="6">
        <f>GlowNestSocialTable3[[#This Row],[Link Clicks]]/GlowNestSocialTable3[[#This Row],[Reach]]</f>
        <v>4.1306695464362851E-3</v>
      </c>
    </row>
    <row r="221" spans="1:19">
      <c r="A221" t="s">
        <v>256</v>
      </c>
      <c r="B221" s="2">
        <v>45789</v>
      </c>
      <c r="C221" t="s">
        <v>33</v>
      </c>
      <c r="D221" t="s">
        <v>34</v>
      </c>
      <c r="E221" t="s">
        <v>27</v>
      </c>
      <c r="F221" t="s">
        <v>31</v>
      </c>
      <c r="G221" t="s">
        <v>23</v>
      </c>
      <c r="H221" s="3">
        <v>34510</v>
      </c>
      <c r="I221" s="3">
        <v>11321</v>
      </c>
      <c r="J221" s="3">
        <v>8583</v>
      </c>
      <c r="K221" s="3">
        <v>282</v>
      </c>
      <c r="L221" s="3">
        <v>34</v>
      </c>
      <c r="M221" s="3">
        <v>32</v>
      </c>
      <c r="N221" s="3">
        <v>39</v>
      </c>
      <c r="O221" s="3">
        <v>129</v>
      </c>
      <c r="P221" s="3"/>
      <c r="Q221" s="3">
        <v>387</v>
      </c>
      <c r="R221" s="4">
        <v>4.51</v>
      </c>
      <c r="S221" s="6">
        <f>GlowNestSocialTable3[[#This Row],[Link Clicks]]/GlowNestSocialTable3[[#This Row],[Reach]]</f>
        <v>1.5029709891646278E-2</v>
      </c>
    </row>
    <row r="222" spans="1:19">
      <c r="A222" t="s">
        <v>257</v>
      </c>
      <c r="B222" s="2">
        <v>45790</v>
      </c>
      <c r="C222" t="s">
        <v>36</v>
      </c>
      <c r="D222" t="s">
        <v>37</v>
      </c>
      <c r="E222" t="s">
        <v>46</v>
      </c>
      <c r="F222" t="s">
        <v>28</v>
      </c>
      <c r="G222" t="s">
        <v>23</v>
      </c>
      <c r="H222" s="3">
        <v>88101</v>
      </c>
      <c r="I222" s="3">
        <v>51335</v>
      </c>
      <c r="J222" s="3">
        <v>33312</v>
      </c>
      <c r="K222" s="3">
        <v>457</v>
      </c>
      <c r="L222" s="3">
        <v>51</v>
      </c>
      <c r="M222" s="3">
        <v>77</v>
      </c>
      <c r="N222" s="3">
        <v>88</v>
      </c>
      <c r="O222" s="3">
        <v>207</v>
      </c>
      <c r="P222" s="3"/>
      <c r="Q222" s="3">
        <v>673</v>
      </c>
      <c r="R222" s="4">
        <v>2.02</v>
      </c>
      <c r="S222" s="6">
        <f>GlowNestSocialTable3[[#This Row],[Link Clicks]]/GlowNestSocialTable3[[#This Row],[Reach]]</f>
        <v>6.2139769452449565E-3</v>
      </c>
    </row>
    <row r="223" spans="1:19">
      <c r="A223" t="s">
        <v>258</v>
      </c>
      <c r="B223" s="2">
        <v>45791</v>
      </c>
      <c r="C223" t="s">
        <v>36</v>
      </c>
      <c r="D223" t="s">
        <v>34</v>
      </c>
      <c r="E223" t="s">
        <v>27</v>
      </c>
      <c r="F223" t="s">
        <v>28</v>
      </c>
      <c r="G223" t="s">
        <v>23</v>
      </c>
      <c r="H223" s="3">
        <v>85193</v>
      </c>
      <c r="I223" s="3">
        <v>40047</v>
      </c>
      <c r="J223" s="3">
        <v>31400</v>
      </c>
      <c r="K223" s="3">
        <v>574</v>
      </c>
      <c r="L223" s="3">
        <v>58</v>
      </c>
      <c r="M223" s="3">
        <v>91</v>
      </c>
      <c r="N223" s="3">
        <v>68</v>
      </c>
      <c r="O223" s="3">
        <v>243</v>
      </c>
      <c r="P223" s="3"/>
      <c r="Q223" s="3">
        <v>791</v>
      </c>
      <c r="R223" s="4">
        <v>2.52</v>
      </c>
      <c r="S223" s="6">
        <f>GlowNestSocialTable3[[#This Row],[Link Clicks]]/GlowNestSocialTable3[[#This Row],[Reach]]</f>
        <v>7.738853503184713E-3</v>
      </c>
    </row>
    <row r="224" spans="1:19">
      <c r="A224" t="s">
        <v>259</v>
      </c>
      <c r="B224" s="2">
        <v>45791</v>
      </c>
      <c r="C224" t="s">
        <v>33</v>
      </c>
      <c r="D224" t="s">
        <v>37</v>
      </c>
      <c r="E224" t="s">
        <v>49</v>
      </c>
      <c r="F224" t="s">
        <v>28</v>
      </c>
      <c r="G224" t="s">
        <v>38</v>
      </c>
      <c r="H224" s="3">
        <v>34747</v>
      </c>
      <c r="I224" s="3">
        <v>23072</v>
      </c>
      <c r="J224" s="3">
        <v>16790</v>
      </c>
      <c r="K224" s="3">
        <v>468</v>
      </c>
      <c r="L224" s="3">
        <v>66</v>
      </c>
      <c r="M224" s="3">
        <v>59</v>
      </c>
      <c r="N224" s="3">
        <v>31</v>
      </c>
      <c r="O224" s="3">
        <v>212</v>
      </c>
      <c r="P224" s="3"/>
      <c r="Q224" s="3">
        <v>624</v>
      </c>
      <c r="R224" s="4">
        <v>3.72</v>
      </c>
      <c r="S224" s="6">
        <f>GlowNestSocialTable3[[#This Row],[Link Clicks]]/GlowNestSocialTable3[[#This Row],[Reach]]</f>
        <v>1.262656343061346E-2</v>
      </c>
    </row>
    <row r="225" spans="1:19">
      <c r="A225" t="s">
        <v>260</v>
      </c>
      <c r="B225" s="2">
        <v>45792</v>
      </c>
      <c r="C225" t="s">
        <v>36</v>
      </c>
      <c r="D225" t="s">
        <v>30</v>
      </c>
      <c r="E225" t="s">
        <v>21</v>
      </c>
      <c r="F225" t="s">
        <v>44</v>
      </c>
      <c r="G225" t="s">
        <v>38</v>
      </c>
      <c r="H225" s="3">
        <v>86940</v>
      </c>
      <c r="I225" s="3">
        <v>61245</v>
      </c>
      <c r="J225" s="3">
        <v>46895</v>
      </c>
      <c r="K225" s="3">
        <v>558</v>
      </c>
      <c r="L225" s="3">
        <v>78</v>
      </c>
      <c r="M225" s="3">
        <v>76</v>
      </c>
      <c r="N225" s="3">
        <v>49</v>
      </c>
      <c r="O225" s="3">
        <v>165</v>
      </c>
      <c r="P225" s="3"/>
      <c r="Q225" s="3">
        <v>761</v>
      </c>
      <c r="R225" s="4">
        <v>1.62</v>
      </c>
      <c r="S225" s="6">
        <f>GlowNestSocialTable3[[#This Row],[Link Clicks]]/GlowNestSocialTable3[[#This Row],[Reach]]</f>
        <v>3.5184987738564877E-3</v>
      </c>
    </row>
    <row r="226" spans="1:19">
      <c r="A226" t="s">
        <v>261</v>
      </c>
      <c r="B226" s="2">
        <v>45792</v>
      </c>
      <c r="C226" t="s">
        <v>36</v>
      </c>
      <c r="D226" t="s">
        <v>20</v>
      </c>
      <c r="E226" t="s">
        <v>27</v>
      </c>
      <c r="F226" t="s">
        <v>44</v>
      </c>
      <c r="G226" t="s">
        <v>23</v>
      </c>
      <c r="H226" s="3">
        <v>86579</v>
      </c>
      <c r="I226" s="3">
        <v>67829</v>
      </c>
      <c r="J226" s="3">
        <v>48149</v>
      </c>
      <c r="K226" s="3">
        <v>1116</v>
      </c>
      <c r="L226" s="3">
        <v>208</v>
      </c>
      <c r="M226" s="3">
        <v>196</v>
      </c>
      <c r="N226" s="3">
        <v>227</v>
      </c>
      <c r="O226" s="3">
        <v>220</v>
      </c>
      <c r="P226" s="3">
        <v>34383</v>
      </c>
      <c r="Q226" s="3">
        <v>1747</v>
      </c>
      <c r="R226" s="4">
        <v>3.63</v>
      </c>
      <c r="S226" s="6">
        <f>GlowNestSocialTable3[[#This Row],[Link Clicks]]/GlowNestSocialTable3[[#This Row],[Reach]]</f>
        <v>4.5691499304243077E-3</v>
      </c>
    </row>
    <row r="227" spans="1:19">
      <c r="A227" t="s">
        <v>262</v>
      </c>
      <c r="B227" s="2">
        <v>45793</v>
      </c>
      <c r="C227" t="s">
        <v>33</v>
      </c>
      <c r="D227" t="s">
        <v>34</v>
      </c>
      <c r="E227" t="s">
        <v>27</v>
      </c>
      <c r="F227" t="s">
        <v>28</v>
      </c>
      <c r="G227" t="s">
        <v>23</v>
      </c>
      <c r="H227" s="3">
        <v>34596</v>
      </c>
      <c r="I227" s="3">
        <v>11088</v>
      </c>
      <c r="J227" s="3">
        <v>8665</v>
      </c>
      <c r="K227" s="3">
        <v>219</v>
      </c>
      <c r="L227" s="3">
        <v>29</v>
      </c>
      <c r="M227" s="3">
        <v>20</v>
      </c>
      <c r="N227" s="3">
        <v>71</v>
      </c>
      <c r="O227" s="3">
        <v>157</v>
      </c>
      <c r="P227" s="3"/>
      <c r="Q227" s="3">
        <v>339</v>
      </c>
      <c r="R227" s="4">
        <v>3.91</v>
      </c>
      <c r="S227" s="6">
        <f>GlowNestSocialTable3[[#This Row],[Link Clicks]]/GlowNestSocialTable3[[#This Row],[Reach]]</f>
        <v>1.8118869013271782E-2</v>
      </c>
    </row>
    <row r="228" spans="1:19">
      <c r="A228" t="s">
        <v>263</v>
      </c>
      <c r="B228" s="2">
        <v>45794</v>
      </c>
      <c r="C228" t="s">
        <v>19</v>
      </c>
      <c r="D228" t="s">
        <v>30</v>
      </c>
      <c r="E228" t="s">
        <v>46</v>
      </c>
      <c r="F228" t="s">
        <v>31</v>
      </c>
      <c r="G228" t="s">
        <v>23</v>
      </c>
      <c r="H228" s="3">
        <v>71513</v>
      </c>
      <c r="I228" s="3">
        <v>26836</v>
      </c>
      <c r="J228" s="3">
        <v>19720</v>
      </c>
      <c r="K228" s="3">
        <v>664</v>
      </c>
      <c r="L228" s="3">
        <v>119</v>
      </c>
      <c r="M228" s="3">
        <v>64</v>
      </c>
      <c r="N228" s="3">
        <v>142</v>
      </c>
      <c r="O228" s="3">
        <v>239</v>
      </c>
      <c r="P228" s="3"/>
      <c r="Q228" s="3">
        <v>989</v>
      </c>
      <c r="R228" s="4">
        <v>5.0199999999999996</v>
      </c>
      <c r="S228" s="6">
        <f>GlowNestSocialTable3[[#This Row],[Link Clicks]]/GlowNestSocialTable3[[#This Row],[Reach]]</f>
        <v>1.2119675456389452E-2</v>
      </c>
    </row>
    <row r="229" spans="1:19">
      <c r="A229" t="s">
        <v>264</v>
      </c>
      <c r="B229" s="2">
        <v>45794</v>
      </c>
      <c r="C229" t="s">
        <v>36</v>
      </c>
      <c r="D229" t="s">
        <v>30</v>
      </c>
      <c r="E229" t="s">
        <v>27</v>
      </c>
      <c r="F229" t="s">
        <v>42</v>
      </c>
      <c r="G229" t="s">
        <v>23</v>
      </c>
      <c r="H229" s="3">
        <v>84924</v>
      </c>
      <c r="I229" s="3">
        <v>41924</v>
      </c>
      <c r="J229" s="3">
        <v>33895</v>
      </c>
      <c r="K229" s="3">
        <v>624</v>
      </c>
      <c r="L229" s="3">
        <v>77</v>
      </c>
      <c r="M229" s="3">
        <v>75</v>
      </c>
      <c r="N229" s="3">
        <v>157</v>
      </c>
      <c r="O229" s="3">
        <v>192</v>
      </c>
      <c r="P229" s="3"/>
      <c r="Q229" s="3">
        <v>933</v>
      </c>
      <c r="R229" s="4">
        <v>2.75</v>
      </c>
      <c r="S229" s="6">
        <f>GlowNestSocialTable3[[#This Row],[Link Clicks]]/GlowNestSocialTable3[[#This Row],[Reach]]</f>
        <v>5.6645522938486501E-3</v>
      </c>
    </row>
    <row r="230" spans="1:19">
      <c r="A230" t="s">
        <v>265</v>
      </c>
      <c r="B230" s="2">
        <v>45795</v>
      </c>
      <c r="C230" t="s">
        <v>36</v>
      </c>
      <c r="D230" t="s">
        <v>30</v>
      </c>
      <c r="E230" t="s">
        <v>21</v>
      </c>
      <c r="F230" t="s">
        <v>22</v>
      </c>
      <c r="G230" t="s">
        <v>38</v>
      </c>
      <c r="H230" s="3">
        <v>84991</v>
      </c>
      <c r="I230" s="3">
        <v>53181</v>
      </c>
      <c r="J230" s="3">
        <v>46364</v>
      </c>
      <c r="K230" s="3">
        <v>730</v>
      </c>
      <c r="L230" s="3">
        <v>79</v>
      </c>
      <c r="M230" s="3">
        <v>99</v>
      </c>
      <c r="N230" s="3">
        <v>114</v>
      </c>
      <c r="O230" s="3">
        <v>248</v>
      </c>
      <c r="P230" s="3"/>
      <c r="Q230" s="3">
        <v>1022</v>
      </c>
      <c r="R230" s="4">
        <v>2.2000000000000002</v>
      </c>
      <c r="S230" s="6">
        <f>GlowNestSocialTable3[[#This Row],[Link Clicks]]/GlowNestSocialTable3[[#This Row],[Reach]]</f>
        <v>5.3489776550772151E-3</v>
      </c>
    </row>
    <row r="231" spans="1:19">
      <c r="A231" t="s">
        <v>266</v>
      </c>
      <c r="B231" s="2">
        <v>45795</v>
      </c>
      <c r="C231" t="s">
        <v>33</v>
      </c>
      <c r="D231" t="s">
        <v>30</v>
      </c>
      <c r="E231" t="s">
        <v>25</v>
      </c>
      <c r="F231" t="s">
        <v>44</v>
      </c>
      <c r="G231" t="s">
        <v>23</v>
      </c>
      <c r="H231" s="3">
        <v>33685</v>
      </c>
      <c r="I231" s="3">
        <v>13603</v>
      </c>
      <c r="J231" s="3">
        <v>8813</v>
      </c>
      <c r="K231" s="3">
        <v>178</v>
      </c>
      <c r="L231" s="3">
        <v>18</v>
      </c>
      <c r="M231" s="3">
        <v>15</v>
      </c>
      <c r="N231" s="3">
        <v>15</v>
      </c>
      <c r="O231" s="3">
        <v>89</v>
      </c>
      <c r="P231" s="3"/>
      <c r="Q231" s="3">
        <v>226</v>
      </c>
      <c r="R231" s="4">
        <v>2.56</v>
      </c>
      <c r="S231" s="6">
        <f>GlowNestSocialTable3[[#This Row],[Link Clicks]]/GlowNestSocialTable3[[#This Row],[Reach]]</f>
        <v>1.0098717803245207E-2</v>
      </c>
    </row>
    <row r="232" spans="1:19">
      <c r="A232" t="s">
        <v>267</v>
      </c>
      <c r="B232" s="2">
        <v>45796</v>
      </c>
      <c r="C232" t="s">
        <v>33</v>
      </c>
      <c r="D232" t="s">
        <v>37</v>
      </c>
      <c r="E232" t="s">
        <v>21</v>
      </c>
      <c r="F232" t="s">
        <v>31</v>
      </c>
      <c r="G232" t="s">
        <v>23</v>
      </c>
      <c r="H232" s="3">
        <v>34501</v>
      </c>
      <c r="I232" s="3">
        <v>12675</v>
      </c>
      <c r="J232" s="3">
        <v>10377</v>
      </c>
      <c r="K232" s="3">
        <v>281</v>
      </c>
      <c r="L232" s="3">
        <v>32</v>
      </c>
      <c r="M232" s="3">
        <v>29</v>
      </c>
      <c r="N232" s="3">
        <v>112</v>
      </c>
      <c r="O232" s="3">
        <v>126</v>
      </c>
      <c r="P232" s="3"/>
      <c r="Q232" s="3">
        <v>454</v>
      </c>
      <c r="R232" s="4">
        <v>4.38</v>
      </c>
      <c r="S232" s="6">
        <f>GlowNestSocialTable3[[#This Row],[Link Clicks]]/GlowNestSocialTable3[[#This Row],[Reach]]</f>
        <v>1.2142237640936688E-2</v>
      </c>
    </row>
    <row r="233" spans="1:19">
      <c r="A233" t="s">
        <v>268</v>
      </c>
      <c r="B233" s="2">
        <v>45797</v>
      </c>
      <c r="C233" t="s">
        <v>36</v>
      </c>
      <c r="D233" t="s">
        <v>30</v>
      </c>
      <c r="E233" t="s">
        <v>25</v>
      </c>
      <c r="F233" t="s">
        <v>31</v>
      </c>
      <c r="G233" t="s">
        <v>23</v>
      </c>
      <c r="H233" s="3">
        <v>87006</v>
      </c>
      <c r="I233" s="3">
        <v>52236</v>
      </c>
      <c r="J233" s="3">
        <v>42068</v>
      </c>
      <c r="K233" s="3">
        <v>411</v>
      </c>
      <c r="L233" s="3">
        <v>65</v>
      </c>
      <c r="M233" s="3">
        <v>42</v>
      </c>
      <c r="N233" s="3">
        <v>62</v>
      </c>
      <c r="O233" s="3">
        <v>128</v>
      </c>
      <c r="P233" s="3"/>
      <c r="Q233" s="3">
        <v>580</v>
      </c>
      <c r="R233" s="4">
        <v>1.38</v>
      </c>
      <c r="S233" s="6">
        <f>GlowNestSocialTable3[[#This Row],[Link Clicks]]/GlowNestSocialTable3[[#This Row],[Reach]]</f>
        <v>3.0426927831130549E-3</v>
      </c>
    </row>
    <row r="234" spans="1:19">
      <c r="A234" t="s">
        <v>269</v>
      </c>
      <c r="B234" s="2">
        <v>45797</v>
      </c>
      <c r="C234" t="s">
        <v>33</v>
      </c>
      <c r="D234" t="s">
        <v>37</v>
      </c>
      <c r="E234" t="s">
        <v>25</v>
      </c>
      <c r="F234" t="s">
        <v>42</v>
      </c>
      <c r="G234" t="s">
        <v>23</v>
      </c>
      <c r="H234" s="3">
        <v>34477</v>
      </c>
      <c r="I234" s="3">
        <v>14141</v>
      </c>
      <c r="J234" s="3">
        <v>9182</v>
      </c>
      <c r="K234" s="3">
        <v>215</v>
      </c>
      <c r="L234" s="3">
        <v>27</v>
      </c>
      <c r="M234" s="3">
        <v>23</v>
      </c>
      <c r="N234" s="3">
        <v>29</v>
      </c>
      <c r="O234" s="3">
        <v>117</v>
      </c>
      <c r="P234" s="3"/>
      <c r="Q234" s="3">
        <v>294</v>
      </c>
      <c r="R234" s="4">
        <v>3.2</v>
      </c>
      <c r="S234" s="6">
        <f>GlowNestSocialTable3[[#This Row],[Link Clicks]]/GlowNestSocialTable3[[#This Row],[Reach]]</f>
        <v>1.2742321934219125E-2</v>
      </c>
    </row>
    <row r="235" spans="1:19">
      <c r="A235" t="s">
        <v>270</v>
      </c>
      <c r="B235" s="2">
        <v>45798</v>
      </c>
      <c r="C235" t="s">
        <v>36</v>
      </c>
      <c r="D235" t="s">
        <v>30</v>
      </c>
      <c r="E235" t="s">
        <v>25</v>
      </c>
      <c r="F235" t="s">
        <v>42</v>
      </c>
      <c r="G235" t="s">
        <v>23</v>
      </c>
      <c r="H235" s="3">
        <v>86400</v>
      </c>
      <c r="I235" s="3">
        <v>45903</v>
      </c>
      <c r="J235" s="3">
        <v>40896</v>
      </c>
      <c r="K235" s="3">
        <v>399</v>
      </c>
      <c r="L235" s="3">
        <v>51</v>
      </c>
      <c r="M235" s="3">
        <v>55</v>
      </c>
      <c r="N235" s="3">
        <v>13</v>
      </c>
      <c r="O235" s="3">
        <v>160</v>
      </c>
      <c r="P235" s="3"/>
      <c r="Q235" s="3">
        <v>518</v>
      </c>
      <c r="R235" s="4">
        <v>1.27</v>
      </c>
      <c r="S235" s="6">
        <f>GlowNestSocialTable3[[#This Row],[Link Clicks]]/GlowNestSocialTable3[[#This Row],[Reach]]</f>
        <v>3.9123630672926448E-3</v>
      </c>
    </row>
    <row r="236" spans="1:19">
      <c r="A236" t="s">
        <v>271</v>
      </c>
      <c r="B236" s="2">
        <v>45798</v>
      </c>
      <c r="C236" t="s">
        <v>19</v>
      </c>
      <c r="D236" t="s">
        <v>37</v>
      </c>
      <c r="E236" t="s">
        <v>27</v>
      </c>
      <c r="F236" t="s">
        <v>28</v>
      </c>
      <c r="G236" t="s">
        <v>23</v>
      </c>
      <c r="H236" s="3">
        <v>70810</v>
      </c>
      <c r="I236" s="3">
        <v>38884</v>
      </c>
      <c r="J236" s="3">
        <v>33357</v>
      </c>
      <c r="K236" s="3">
        <v>1570</v>
      </c>
      <c r="L236" s="3">
        <v>224</v>
      </c>
      <c r="M236" s="3">
        <v>240</v>
      </c>
      <c r="N236" s="3">
        <v>235</v>
      </c>
      <c r="O236" s="3">
        <v>422</v>
      </c>
      <c r="P236" s="3"/>
      <c r="Q236" s="3">
        <v>2269</v>
      </c>
      <c r="R236" s="4">
        <v>6.8</v>
      </c>
      <c r="S236" s="6">
        <f>GlowNestSocialTable3[[#This Row],[Link Clicks]]/GlowNestSocialTable3[[#This Row],[Reach]]</f>
        <v>1.2651017777378062E-2</v>
      </c>
    </row>
    <row r="237" spans="1:19">
      <c r="A237" t="s">
        <v>272</v>
      </c>
      <c r="B237" s="2">
        <v>45799</v>
      </c>
      <c r="C237" t="s">
        <v>33</v>
      </c>
      <c r="D237" t="s">
        <v>37</v>
      </c>
      <c r="E237" t="s">
        <v>25</v>
      </c>
      <c r="F237" t="s">
        <v>28</v>
      </c>
      <c r="G237" t="s">
        <v>23</v>
      </c>
      <c r="H237" s="3">
        <v>33768</v>
      </c>
      <c r="I237" s="3">
        <v>12661</v>
      </c>
      <c r="J237" s="3">
        <v>8216</v>
      </c>
      <c r="K237" s="3">
        <v>170</v>
      </c>
      <c r="L237" s="3">
        <v>26</v>
      </c>
      <c r="M237" s="3">
        <v>22</v>
      </c>
      <c r="N237" s="3">
        <v>23</v>
      </c>
      <c r="O237" s="3">
        <v>106</v>
      </c>
      <c r="P237" s="3"/>
      <c r="Q237" s="3">
        <v>241</v>
      </c>
      <c r="R237" s="4">
        <v>2.93</v>
      </c>
      <c r="S237" s="6">
        <f>GlowNestSocialTable3[[#This Row],[Link Clicks]]/GlowNestSocialTable3[[#This Row],[Reach]]</f>
        <v>1.2901655306718598E-2</v>
      </c>
    </row>
    <row r="238" spans="1:19">
      <c r="A238" t="s">
        <v>273</v>
      </c>
      <c r="B238" s="2">
        <v>45800</v>
      </c>
      <c r="C238" t="s">
        <v>33</v>
      </c>
      <c r="D238" t="s">
        <v>30</v>
      </c>
      <c r="E238" t="s">
        <v>21</v>
      </c>
      <c r="F238" t="s">
        <v>31</v>
      </c>
      <c r="G238" t="s">
        <v>23</v>
      </c>
      <c r="H238" s="3">
        <v>33775</v>
      </c>
      <c r="I238" s="3">
        <v>8279</v>
      </c>
      <c r="J238" s="3">
        <v>5946</v>
      </c>
      <c r="K238" s="3">
        <v>123</v>
      </c>
      <c r="L238" s="3">
        <v>13</v>
      </c>
      <c r="M238" s="3">
        <v>17</v>
      </c>
      <c r="N238" s="3">
        <v>22</v>
      </c>
      <c r="O238" s="3">
        <v>72</v>
      </c>
      <c r="P238" s="3"/>
      <c r="Q238" s="3">
        <v>175</v>
      </c>
      <c r="R238" s="4">
        <v>2.94</v>
      </c>
      <c r="S238" s="6">
        <f>GlowNestSocialTable3[[#This Row],[Link Clicks]]/GlowNestSocialTable3[[#This Row],[Reach]]</f>
        <v>1.2108980827447022E-2</v>
      </c>
    </row>
    <row r="239" spans="1:19">
      <c r="A239" t="s">
        <v>274</v>
      </c>
      <c r="B239" s="2">
        <v>45800</v>
      </c>
      <c r="C239" t="s">
        <v>33</v>
      </c>
      <c r="D239" t="s">
        <v>34</v>
      </c>
      <c r="E239" t="s">
        <v>27</v>
      </c>
      <c r="F239" t="s">
        <v>28</v>
      </c>
      <c r="G239" t="s">
        <v>23</v>
      </c>
      <c r="H239" s="3">
        <v>32787</v>
      </c>
      <c r="I239" s="3">
        <v>8963</v>
      </c>
      <c r="J239" s="3">
        <v>6035</v>
      </c>
      <c r="K239" s="3">
        <v>212</v>
      </c>
      <c r="L239" s="3">
        <v>31</v>
      </c>
      <c r="M239" s="3">
        <v>19</v>
      </c>
      <c r="N239" s="3">
        <v>18</v>
      </c>
      <c r="O239" s="3">
        <v>103</v>
      </c>
      <c r="P239" s="3"/>
      <c r="Q239" s="3">
        <v>280</v>
      </c>
      <c r="R239" s="4">
        <v>4.6399999999999997</v>
      </c>
      <c r="S239" s="6">
        <f>GlowNestSocialTable3[[#This Row],[Link Clicks]]/GlowNestSocialTable3[[#This Row],[Reach]]</f>
        <v>1.7067108533554268E-2</v>
      </c>
    </row>
    <row r="240" spans="1:19">
      <c r="A240" t="s">
        <v>275</v>
      </c>
      <c r="B240" s="2">
        <v>45801</v>
      </c>
      <c r="C240" t="s">
        <v>36</v>
      </c>
      <c r="D240" t="s">
        <v>20</v>
      </c>
      <c r="E240" t="s">
        <v>21</v>
      </c>
      <c r="F240" t="s">
        <v>42</v>
      </c>
      <c r="G240" t="s">
        <v>23</v>
      </c>
      <c r="H240" s="3">
        <v>87688</v>
      </c>
      <c r="I240" s="3">
        <v>77616</v>
      </c>
      <c r="J240" s="3">
        <v>58819</v>
      </c>
      <c r="K240" s="3">
        <v>1595</v>
      </c>
      <c r="L240" s="3">
        <v>226</v>
      </c>
      <c r="M240" s="3">
        <v>155</v>
      </c>
      <c r="N240" s="3">
        <v>294</v>
      </c>
      <c r="O240" s="3">
        <v>242</v>
      </c>
      <c r="P240" s="3">
        <v>49021</v>
      </c>
      <c r="Q240" s="3">
        <v>2270</v>
      </c>
      <c r="R240" s="4">
        <v>3.86</v>
      </c>
      <c r="S240" s="6">
        <f>GlowNestSocialTable3[[#This Row],[Link Clicks]]/GlowNestSocialTable3[[#This Row],[Reach]]</f>
        <v>4.114316802393784E-3</v>
      </c>
    </row>
    <row r="241" spans="1:19">
      <c r="A241" t="s">
        <v>276</v>
      </c>
      <c r="B241" s="2">
        <v>45802</v>
      </c>
      <c r="C241" t="s">
        <v>36</v>
      </c>
      <c r="D241" t="s">
        <v>20</v>
      </c>
      <c r="E241" t="s">
        <v>25</v>
      </c>
      <c r="F241" t="s">
        <v>22</v>
      </c>
      <c r="G241" t="s">
        <v>38</v>
      </c>
      <c r="H241" s="3">
        <v>87135</v>
      </c>
      <c r="I241" s="3">
        <v>96870</v>
      </c>
      <c r="J241" s="3">
        <v>81983</v>
      </c>
      <c r="K241" s="3">
        <v>970</v>
      </c>
      <c r="L241" s="3">
        <v>145</v>
      </c>
      <c r="M241" s="3">
        <v>140</v>
      </c>
      <c r="N241" s="3">
        <v>212</v>
      </c>
      <c r="O241" s="3">
        <v>385</v>
      </c>
      <c r="P241" s="3">
        <v>66777</v>
      </c>
      <c r="Q241" s="3">
        <v>1467</v>
      </c>
      <c r="R241" s="4">
        <v>1.79</v>
      </c>
      <c r="S241" s="6">
        <f>GlowNestSocialTable3[[#This Row],[Link Clicks]]/GlowNestSocialTable3[[#This Row],[Reach]]</f>
        <v>4.6960955320005365E-3</v>
      </c>
    </row>
    <row r="242" spans="1:19">
      <c r="A242" t="s">
        <v>277</v>
      </c>
      <c r="B242" s="2">
        <v>45802</v>
      </c>
      <c r="C242" t="s">
        <v>33</v>
      </c>
      <c r="D242" t="s">
        <v>30</v>
      </c>
      <c r="E242" t="s">
        <v>25</v>
      </c>
      <c r="F242" t="s">
        <v>44</v>
      </c>
      <c r="G242" t="s">
        <v>23</v>
      </c>
      <c r="H242" s="3">
        <v>34003</v>
      </c>
      <c r="I242" s="3">
        <v>10561</v>
      </c>
      <c r="J242" s="3">
        <v>9540</v>
      </c>
      <c r="K242" s="3">
        <v>128</v>
      </c>
      <c r="L242" s="3">
        <v>18</v>
      </c>
      <c r="M242" s="3">
        <v>13</v>
      </c>
      <c r="N242" s="3">
        <v>21</v>
      </c>
      <c r="O242" s="3">
        <v>71</v>
      </c>
      <c r="P242" s="3"/>
      <c r="Q242" s="3">
        <v>180</v>
      </c>
      <c r="R242" s="4">
        <v>1.89</v>
      </c>
      <c r="S242" s="6">
        <f>GlowNestSocialTable3[[#This Row],[Link Clicks]]/GlowNestSocialTable3[[#This Row],[Reach]]</f>
        <v>7.442348008385744E-3</v>
      </c>
    </row>
    <row r="243" spans="1:19">
      <c r="A243" t="s">
        <v>278</v>
      </c>
      <c r="B243" s="2">
        <v>45803</v>
      </c>
      <c r="C243" t="s">
        <v>19</v>
      </c>
      <c r="D243" t="s">
        <v>34</v>
      </c>
      <c r="E243" t="s">
        <v>27</v>
      </c>
      <c r="F243" t="s">
        <v>31</v>
      </c>
      <c r="G243" t="s">
        <v>23</v>
      </c>
      <c r="H243" s="3">
        <v>70184</v>
      </c>
      <c r="I243" s="3">
        <v>31710</v>
      </c>
      <c r="J243" s="3">
        <v>22723</v>
      </c>
      <c r="K243" s="3">
        <v>708</v>
      </c>
      <c r="L243" s="3">
        <v>102</v>
      </c>
      <c r="M243" s="3">
        <v>86</v>
      </c>
      <c r="N243" s="3">
        <v>47</v>
      </c>
      <c r="O243" s="3">
        <v>294</v>
      </c>
      <c r="P243" s="3"/>
      <c r="Q243" s="3">
        <v>943</v>
      </c>
      <c r="R243" s="4">
        <v>4.1500000000000004</v>
      </c>
      <c r="S243" s="6">
        <f>GlowNestSocialTable3[[#This Row],[Link Clicks]]/GlowNestSocialTable3[[#This Row],[Reach]]</f>
        <v>1.2938432425295956E-2</v>
      </c>
    </row>
    <row r="244" spans="1:19">
      <c r="A244" t="s">
        <v>279</v>
      </c>
      <c r="B244" s="2">
        <v>45803</v>
      </c>
      <c r="C244" t="s">
        <v>36</v>
      </c>
      <c r="D244" t="s">
        <v>34</v>
      </c>
      <c r="E244" t="s">
        <v>25</v>
      </c>
      <c r="F244" t="s">
        <v>28</v>
      </c>
      <c r="G244" t="s">
        <v>23</v>
      </c>
      <c r="H244" s="3">
        <v>82508</v>
      </c>
      <c r="I244" s="3">
        <v>51000</v>
      </c>
      <c r="J244" s="3">
        <v>33671</v>
      </c>
      <c r="K244" s="3">
        <v>273</v>
      </c>
      <c r="L244" s="3">
        <v>42</v>
      </c>
      <c r="M244" s="3">
        <v>23</v>
      </c>
      <c r="N244" s="3">
        <v>13</v>
      </c>
      <c r="O244" s="3">
        <v>162</v>
      </c>
      <c r="P244" s="3"/>
      <c r="Q244" s="3">
        <v>351</v>
      </c>
      <c r="R244" s="4">
        <v>1.04</v>
      </c>
      <c r="S244" s="6">
        <f>GlowNestSocialTable3[[#This Row],[Link Clicks]]/GlowNestSocialTable3[[#This Row],[Reach]]</f>
        <v>4.8112619167829879E-3</v>
      </c>
    </row>
    <row r="245" spans="1:19">
      <c r="A245" t="s">
        <v>280</v>
      </c>
      <c r="B245" s="2">
        <v>45804</v>
      </c>
      <c r="C245" t="s">
        <v>33</v>
      </c>
      <c r="D245" t="s">
        <v>30</v>
      </c>
      <c r="E245" t="s">
        <v>46</v>
      </c>
      <c r="F245" t="s">
        <v>44</v>
      </c>
      <c r="G245" t="s">
        <v>38</v>
      </c>
      <c r="H245" s="3">
        <v>31714</v>
      </c>
      <c r="I245" s="3">
        <v>16380</v>
      </c>
      <c r="J245" s="3">
        <v>12271</v>
      </c>
      <c r="K245" s="3">
        <v>235</v>
      </c>
      <c r="L245" s="3">
        <v>37</v>
      </c>
      <c r="M245" s="3">
        <v>27</v>
      </c>
      <c r="N245" s="3">
        <v>34</v>
      </c>
      <c r="O245" s="3">
        <v>159</v>
      </c>
      <c r="P245" s="3"/>
      <c r="Q245" s="3">
        <v>333</v>
      </c>
      <c r="R245" s="4">
        <v>2.71</v>
      </c>
      <c r="S245" s="6">
        <f>GlowNestSocialTable3[[#This Row],[Link Clicks]]/GlowNestSocialTable3[[#This Row],[Reach]]</f>
        <v>1.2957379186700351E-2</v>
      </c>
    </row>
    <row r="246" spans="1:19">
      <c r="A246" t="s">
        <v>281</v>
      </c>
      <c r="B246" s="2">
        <v>45805</v>
      </c>
      <c r="C246" t="s">
        <v>33</v>
      </c>
      <c r="D246" t="s">
        <v>34</v>
      </c>
      <c r="E246" t="s">
        <v>25</v>
      </c>
      <c r="F246" t="s">
        <v>31</v>
      </c>
      <c r="G246" t="s">
        <v>23</v>
      </c>
      <c r="H246" s="3">
        <v>35361</v>
      </c>
      <c r="I246" s="3">
        <v>7237</v>
      </c>
      <c r="J246" s="3">
        <v>5618</v>
      </c>
      <c r="K246" s="3">
        <v>89</v>
      </c>
      <c r="L246" s="3">
        <v>15</v>
      </c>
      <c r="M246" s="3">
        <v>13</v>
      </c>
      <c r="N246" s="3">
        <v>3</v>
      </c>
      <c r="O246" s="3">
        <v>53</v>
      </c>
      <c r="P246" s="3"/>
      <c r="Q246" s="3">
        <v>120</v>
      </c>
      <c r="R246" s="4">
        <v>2.14</v>
      </c>
      <c r="S246" s="6">
        <f>GlowNestSocialTable3[[#This Row],[Link Clicks]]/GlowNestSocialTable3[[#This Row],[Reach]]</f>
        <v>9.433962264150943E-3</v>
      </c>
    </row>
    <row r="247" spans="1:19">
      <c r="A247" t="s">
        <v>282</v>
      </c>
      <c r="B247" s="2">
        <v>45805</v>
      </c>
      <c r="C247" t="s">
        <v>36</v>
      </c>
      <c r="D247" t="s">
        <v>30</v>
      </c>
      <c r="E247" t="s">
        <v>49</v>
      </c>
      <c r="F247" t="s">
        <v>31</v>
      </c>
      <c r="G247" t="s">
        <v>23</v>
      </c>
      <c r="H247" s="3">
        <v>85000</v>
      </c>
      <c r="I247" s="3">
        <v>54872</v>
      </c>
      <c r="J247" s="3">
        <v>39852</v>
      </c>
      <c r="K247" s="3">
        <v>464</v>
      </c>
      <c r="L247" s="3">
        <v>77</v>
      </c>
      <c r="M247" s="3">
        <v>76</v>
      </c>
      <c r="N247" s="3">
        <v>45</v>
      </c>
      <c r="O247" s="3">
        <v>114</v>
      </c>
      <c r="P247" s="3"/>
      <c r="Q247" s="3">
        <v>662</v>
      </c>
      <c r="R247" s="4">
        <v>1.66</v>
      </c>
      <c r="S247" s="6">
        <f>GlowNestSocialTable3[[#This Row],[Link Clicks]]/GlowNestSocialTable3[[#This Row],[Reach]]</f>
        <v>2.8605841613971697E-3</v>
      </c>
    </row>
    <row r="248" spans="1:19">
      <c r="A248" t="s">
        <v>283</v>
      </c>
      <c r="B248" s="2">
        <v>45806</v>
      </c>
      <c r="C248" t="s">
        <v>19</v>
      </c>
      <c r="D248" t="s">
        <v>20</v>
      </c>
      <c r="E248" t="s">
        <v>46</v>
      </c>
      <c r="F248" t="s">
        <v>28</v>
      </c>
      <c r="G248" t="s">
        <v>23</v>
      </c>
      <c r="H248" s="3">
        <v>70629</v>
      </c>
      <c r="I248" s="3">
        <v>39793</v>
      </c>
      <c r="J248" s="3">
        <v>29304</v>
      </c>
      <c r="K248" s="3">
        <v>1207</v>
      </c>
      <c r="L248" s="3">
        <v>128</v>
      </c>
      <c r="M248" s="3">
        <v>107</v>
      </c>
      <c r="N248" s="3">
        <v>465</v>
      </c>
      <c r="O248" s="3">
        <v>376</v>
      </c>
      <c r="P248" s="3">
        <v>17984</v>
      </c>
      <c r="Q248" s="3">
        <v>1907</v>
      </c>
      <c r="R248" s="4">
        <v>6.51</v>
      </c>
      <c r="S248" s="6">
        <f>GlowNestSocialTable3[[#This Row],[Link Clicks]]/GlowNestSocialTable3[[#This Row],[Reach]]</f>
        <v>1.2831012831012831E-2</v>
      </c>
    </row>
    <row r="249" spans="1:19">
      <c r="A249" t="s">
        <v>284</v>
      </c>
      <c r="B249" s="2">
        <v>45806</v>
      </c>
      <c r="C249" t="s">
        <v>36</v>
      </c>
      <c r="D249" t="s">
        <v>37</v>
      </c>
      <c r="E249" t="s">
        <v>27</v>
      </c>
      <c r="F249" t="s">
        <v>44</v>
      </c>
      <c r="G249" t="s">
        <v>23</v>
      </c>
      <c r="H249" s="3">
        <v>86369</v>
      </c>
      <c r="I249" s="3">
        <v>52345</v>
      </c>
      <c r="J249" s="3">
        <v>35796</v>
      </c>
      <c r="K249" s="3">
        <v>672</v>
      </c>
      <c r="L249" s="3">
        <v>119</v>
      </c>
      <c r="M249" s="3">
        <v>118</v>
      </c>
      <c r="N249" s="3">
        <v>181</v>
      </c>
      <c r="O249" s="3">
        <v>232</v>
      </c>
      <c r="P249" s="3"/>
      <c r="Q249" s="3">
        <v>1090</v>
      </c>
      <c r="R249" s="4">
        <v>3.05</v>
      </c>
      <c r="S249" s="6">
        <f>GlowNestSocialTable3[[#This Row],[Link Clicks]]/GlowNestSocialTable3[[#This Row],[Reach]]</f>
        <v>6.481171080567661E-3</v>
      </c>
    </row>
    <row r="250" spans="1:19">
      <c r="A250" t="s">
        <v>285</v>
      </c>
      <c r="B250" s="2">
        <v>45807</v>
      </c>
      <c r="C250" t="s">
        <v>19</v>
      </c>
      <c r="D250" t="s">
        <v>20</v>
      </c>
      <c r="E250" t="s">
        <v>27</v>
      </c>
      <c r="F250" t="s">
        <v>31</v>
      </c>
      <c r="G250" t="s">
        <v>38</v>
      </c>
      <c r="H250" s="3">
        <v>72265</v>
      </c>
      <c r="I250" s="3">
        <v>46936</v>
      </c>
      <c r="J250" s="3">
        <v>41721</v>
      </c>
      <c r="K250" s="3">
        <v>2086</v>
      </c>
      <c r="L250" s="3">
        <v>385</v>
      </c>
      <c r="M250" s="3">
        <v>214</v>
      </c>
      <c r="N250" s="3">
        <v>965</v>
      </c>
      <c r="O250" s="3">
        <v>543</v>
      </c>
      <c r="P250" s="3">
        <v>29002</v>
      </c>
      <c r="Q250" s="3">
        <v>3650</v>
      </c>
      <c r="R250" s="4">
        <v>8.75</v>
      </c>
      <c r="S250" s="6">
        <f>GlowNestSocialTable3[[#This Row],[Link Clicks]]/GlowNestSocialTable3[[#This Row],[Reach]]</f>
        <v>1.3015028402962536E-2</v>
      </c>
    </row>
    <row r="251" spans="1:19">
      <c r="A251" t="s">
        <v>286</v>
      </c>
      <c r="B251" s="2">
        <v>45808</v>
      </c>
      <c r="C251" t="s">
        <v>19</v>
      </c>
      <c r="D251" t="s">
        <v>37</v>
      </c>
      <c r="E251" t="s">
        <v>27</v>
      </c>
      <c r="F251" t="s">
        <v>28</v>
      </c>
      <c r="G251" t="s">
        <v>38</v>
      </c>
      <c r="H251" s="3">
        <v>70707</v>
      </c>
      <c r="I251" s="3">
        <v>82980</v>
      </c>
      <c r="J251" s="3">
        <v>53671</v>
      </c>
      <c r="K251" s="3">
        <v>2562</v>
      </c>
      <c r="L251" s="3">
        <v>338</v>
      </c>
      <c r="M251" s="3">
        <v>230</v>
      </c>
      <c r="N251" s="3">
        <v>627</v>
      </c>
      <c r="O251" s="3">
        <v>529</v>
      </c>
      <c r="P251" s="3"/>
      <c r="Q251" s="3">
        <v>3757</v>
      </c>
      <c r="R251" s="4">
        <v>7</v>
      </c>
      <c r="S251" s="6">
        <f>GlowNestSocialTable3[[#This Row],[Link Clicks]]/GlowNestSocialTable3[[#This Row],[Reach]]</f>
        <v>9.8563470030370217E-3</v>
      </c>
    </row>
    <row r="252" spans="1:19">
      <c r="A252" t="s">
        <v>287</v>
      </c>
      <c r="B252" s="2">
        <v>45808</v>
      </c>
      <c r="C252" t="s">
        <v>19</v>
      </c>
      <c r="D252" t="s">
        <v>37</v>
      </c>
      <c r="E252" t="s">
        <v>49</v>
      </c>
      <c r="F252" t="s">
        <v>42</v>
      </c>
      <c r="G252" t="s">
        <v>23</v>
      </c>
      <c r="H252" s="3">
        <v>72580</v>
      </c>
      <c r="I252" s="3">
        <v>31070</v>
      </c>
      <c r="J252" s="3">
        <v>20162</v>
      </c>
      <c r="K252" s="3">
        <v>836</v>
      </c>
      <c r="L252" s="3">
        <v>156</v>
      </c>
      <c r="M252" s="3">
        <v>97</v>
      </c>
      <c r="N252" s="3">
        <v>230</v>
      </c>
      <c r="O252" s="3">
        <v>210</v>
      </c>
      <c r="P252" s="3"/>
      <c r="Q252" s="3">
        <v>1319</v>
      </c>
      <c r="R252" s="4">
        <v>6.54</v>
      </c>
      <c r="S252" s="6">
        <f>GlowNestSocialTable3[[#This Row],[Link Clicks]]/GlowNestSocialTable3[[#This Row],[Reach]]</f>
        <v>1.0415633369705387E-2</v>
      </c>
    </row>
    <row r="253" spans="1:19">
      <c r="A253" t="s">
        <v>288</v>
      </c>
      <c r="B253" s="2">
        <v>45809</v>
      </c>
      <c r="C253" t="s">
        <v>33</v>
      </c>
      <c r="D253" t="s">
        <v>30</v>
      </c>
      <c r="E253" t="s">
        <v>21</v>
      </c>
      <c r="F253" t="s">
        <v>42</v>
      </c>
      <c r="G253" t="s">
        <v>38</v>
      </c>
      <c r="H253" s="3">
        <v>32988</v>
      </c>
      <c r="I253" s="3">
        <v>13464</v>
      </c>
      <c r="J253" s="3">
        <v>12459</v>
      </c>
      <c r="K253" s="3">
        <v>301</v>
      </c>
      <c r="L253" s="3">
        <v>36</v>
      </c>
      <c r="M253" s="3">
        <v>39</v>
      </c>
      <c r="N253" s="3">
        <v>52</v>
      </c>
      <c r="O253" s="3">
        <v>144</v>
      </c>
      <c r="P253" s="3"/>
      <c r="Q253" s="3">
        <v>428</v>
      </c>
      <c r="R253" s="4">
        <v>3.44</v>
      </c>
      <c r="S253" s="6">
        <f>GlowNestSocialTable3[[#This Row],[Link Clicks]]/GlowNestSocialTable3[[#This Row],[Reach]]</f>
        <v>1.1557909944618349E-2</v>
      </c>
    </row>
    <row r="254" spans="1:19">
      <c r="A254" t="s">
        <v>289</v>
      </c>
      <c r="B254" s="2">
        <v>45809</v>
      </c>
      <c r="C254" t="s">
        <v>33</v>
      </c>
      <c r="D254" t="s">
        <v>30</v>
      </c>
      <c r="E254" t="s">
        <v>25</v>
      </c>
      <c r="F254" t="s">
        <v>44</v>
      </c>
      <c r="G254" t="s">
        <v>23</v>
      </c>
      <c r="H254" s="3">
        <v>34323</v>
      </c>
      <c r="I254" s="3">
        <v>12492</v>
      </c>
      <c r="J254" s="3">
        <v>9873</v>
      </c>
      <c r="K254" s="3">
        <v>133</v>
      </c>
      <c r="L254" s="3">
        <v>13</v>
      </c>
      <c r="M254" s="3">
        <v>19</v>
      </c>
      <c r="N254" s="3">
        <v>14</v>
      </c>
      <c r="O254" s="3">
        <v>67</v>
      </c>
      <c r="P254" s="3"/>
      <c r="Q254" s="3">
        <v>179</v>
      </c>
      <c r="R254" s="4">
        <v>1.81</v>
      </c>
      <c r="S254" s="6">
        <f>GlowNestSocialTable3[[#This Row],[Link Clicks]]/GlowNestSocialTable3[[#This Row],[Reach]]</f>
        <v>6.7861845437050539E-3</v>
      </c>
    </row>
    <row r="255" spans="1:19">
      <c r="A255" t="s">
        <v>290</v>
      </c>
      <c r="B255" s="2">
        <v>45810</v>
      </c>
      <c r="C255" t="s">
        <v>33</v>
      </c>
      <c r="D255" t="s">
        <v>37</v>
      </c>
      <c r="E255" t="s">
        <v>49</v>
      </c>
      <c r="F255" t="s">
        <v>28</v>
      </c>
      <c r="G255" t="s">
        <v>23</v>
      </c>
      <c r="H255" s="3">
        <v>31924</v>
      </c>
      <c r="I255" s="3">
        <v>9872</v>
      </c>
      <c r="J255" s="3">
        <v>8428</v>
      </c>
      <c r="K255" s="3">
        <v>304</v>
      </c>
      <c r="L255" s="3">
        <v>41</v>
      </c>
      <c r="M255" s="3">
        <v>29</v>
      </c>
      <c r="N255" s="3">
        <v>38</v>
      </c>
      <c r="O255" s="3">
        <v>84</v>
      </c>
      <c r="P255" s="3"/>
      <c r="Q255" s="3">
        <v>412</v>
      </c>
      <c r="R255" s="4">
        <v>4.8899999999999997</v>
      </c>
      <c r="S255" s="6">
        <f>GlowNestSocialTable3[[#This Row],[Link Clicks]]/GlowNestSocialTable3[[#This Row],[Reach]]</f>
        <v>9.9667774086378731E-3</v>
      </c>
    </row>
    <row r="256" spans="1:19">
      <c r="A256" t="s">
        <v>291</v>
      </c>
      <c r="B256" s="2">
        <v>45811</v>
      </c>
      <c r="C256" t="s">
        <v>19</v>
      </c>
      <c r="D256" t="s">
        <v>37</v>
      </c>
      <c r="E256" t="s">
        <v>25</v>
      </c>
      <c r="F256" t="s">
        <v>44</v>
      </c>
      <c r="G256" t="s">
        <v>23</v>
      </c>
      <c r="H256" s="3">
        <v>71170</v>
      </c>
      <c r="I256" s="3">
        <v>32070</v>
      </c>
      <c r="J256" s="3">
        <v>22133</v>
      </c>
      <c r="K256" s="3">
        <v>516</v>
      </c>
      <c r="L256" s="3">
        <v>86</v>
      </c>
      <c r="M256" s="3">
        <v>71</v>
      </c>
      <c r="N256" s="3">
        <v>29</v>
      </c>
      <c r="O256" s="3">
        <v>226</v>
      </c>
      <c r="P256" s="3"/>
      <c r="Q256" s="3">
        <v>702</v>
      </c>
      <c r="R256" s="4">
        <v>3.17</v>
      </c>
      <c r="S256" s="6">
        <f>GlowNestSocialTable3[[#This Row],[Link Clicks]]/GlowNestSocialTable3[[#This Row],[Reach]]</f>
        <v>1.0210997153571591E-2</v>
      </c>
    </row>
    <row r="257" spans="1:19">
      <c r="A257" t="s">
        <v>292</v>
      </c>
      <c r="B257" s="2">
        <v>45811</v>
      </c>
      <c r="C257" t="s">
        <v>33</v>
      </c>
      <c r="D257" t="s">
        <v>30</v>
      </c>
      <c r="E257" t="s">
        <v>25</v>
      </c>
      <c r="F257" t="s">
        <v>42</v>
      </c>
      <c r="G257" t="s">
        <v>23</v>
      </c>
      <c r="H257" s="3">
        <v>34412</v>
      </c>
      <c r="I257" s="3">
        <v>10594</v>
      </c>
      <c r="J257" s="3">
        <v>7548</v>
      </c>
      <c r="K257" s="3">
        <v>97</v>
      </c>
      <c r="L257" s="3">
        <v>16</v>
      </c>
      <c r="M257" s="3">
        <v>10</v>
      </c>
      <c r="N257" s="3">
        <v>11</v>
      </c>
      <c r="O257" s="3">
        <v>51</v>
      </c>
      <c r="P257" s="3"/>
      <c r="Q257" s="3">
        <v>134</v>
      </c>
      <c r="R257" s="4">
        <v>1.78</v>
      </c>
      <c r="S257" s="6">
        <f>GlowNestSocialTable3[[#This Row],[Link Clicks]]/GlowNestSocialTable3[[#This Row],[Reach]]</f>
        <v>6.7567567567567571E-3</v>
      </c>
    </row>
    <row r="258" spans="1:19">
      <c r="A258" t="s">
        <v>293</v>
      </c>
      <c r="B258" s="2">
        <v>45812</v>
      </c>
      <c r="C258" t="s">
        <v>36</v>
      </c>
      <c r="D258" t="s">
        <v>20</v>
      </c>
      <c r="E258" t="s">
        <v>27</v>
      </c>
      <c r="F258" t="s">
        <v>42</v>
      </c>
      <c r="G258" t="s">
        <v>23</v>
      </c>
      <c r="H258" s="3">
        <v>84196</v>
      </c>
      <c r="I258" s="3">
        <v>58478</v>
      </c>
      <c r="J258" s="3">
        <v>41593</v>
      </c>
      <c r="K258" s="3">
        <v>1024</v>
      </c>
      <c r="L258" s="3">
        <v>201</v>
      </c>
      <c r="M258" s="3">
        <v>165</v>
      </c>
      <c r="N258" s="3">
        <v>358</v>
      </c>
      <c r="O258" s="3">
        <v>205</v>
      </c>
      <c r="P258" s="3">
        <v>26034</v>
      </c>
      <c r="Q258" s="3">
        <v>1748</v>
      </c>
      <c r="R258" s="4">
        <v>4.2</v>
      </c>
      <c r="S258" s="6">
        <f>GlowNestSocialTable3[[#This Row],[Link Clicks]]/GlowNestSocialTable3[[#This Row],[Reach]]</f>
        <v>4.928713966292405E-3</v>
      </c>
    </row>
    <row r="259" spans="1:19">
      <c r="A259" t="s">
        <v>294</v>
      </c>
      <c r="B259" s="2">
        <v>45812</v>
      </c>
      <c r="C259" t="s">
        <v>19</v>
      </c>
      <c r="D259" t="s">
        <v>30</v>
      </c>
      <c r="E259" t="s">
        <v>46</v>
      </c>
      <c r="F259" t="s">
        <v>22</v>
      </c>
      <c r="G259" t="s">
        <v>38</v>
      </c>
      <c r="H259" s="3">
        <v>72814</v>
      </c>
      <c r="I259" s="3">
        <v>32363</v>
      </c>
      <c r="J259" s="3">
        <v>28381</v>
      </c>
      <c r="K259" s="3">
        <v>879</v>
      </c>
      <c r="L259" s="3">
        <v>115</v>
      </c>
      <c r="M259" s="3">
        <v>86</v>
      </c>
      <c r="N259" s="3">
        <v>194</v>
      </c>
      <c r="O259" s="3">
        <v>260</v>
      </c>
      <c r="P259" s="3"/>
      <c r="Q259" s="3">
        <v>1274</v>
      </c>
      <c r="R259" s="4">
        <v>4.49</v>
      </c>
      <c r="S259" s="6">
        <f>GlowNestSocialTable3[[#This Row],[Link Clicks]]/GlowNestSocialTable3[[#This Row],[Reach]]</f>
        <v>9.1610584545999078E-3</v>
      </c>
    </row>
    <row r="260" spans="1:19">
      <c r="A260" t="s">
        <v>295</v>
      </c>
      <c r="B260" s="2">
        <v>45813</v>
      </c>
      <c r="C260" t="s">
        <v>33</v>
      </c>
      <c r="D260" t="s">
        <v>20</v>
      </c>
      <c r="E260" t="s">
        <v>27</v>
      </c>
      <c r="F260" t="s">
        <v>31</v>
      </c>
      <c r="G260" t="s">
        <v>23</v>
      </c>
      <c r="H260" s="3">
        <v>34637</v>
      </c>
      <c r="I260" s="3">
        <v>15102</v>
      </c>
      <c r="J260" s="3">
        <v>11883</v>
      </c>
      <c r="K260" s="3">
        <v>451</v>
      </c>
      <c r="L260" s="3">
        <v>49</v>
      </c>
      <c r="M260" s="3">
        <v>45</v>
      </c>
      <c r="N260" s="3">
        <v>152</v>
      </c>
      <c r="O260" s="3">
        <v>206</v>
      </c>
      <c r="P260" s="3">
        <v>9109</v>
      </c>
      <c r="Q260" s="3">
        <v>697</v>
      </c>
      <c r="R260" s="4">
        <v>5.87</v>
      </c>
      <c r="S260" s="6">
        <f>GlowNestSocialTable3[[#This Row],[Link Clicks]]/GlowNestSocialTable3[[#This Row],[Reach]]</f>
        <v>1.7335689640663132E-2</v>
      </c>
    </row>
    <row r="261" spans="1:19">
      <c r="A261" t="s">
        <v>296</v>
      </c>
      <c r="B261" s="2">
        <v>45814</v>
      </c>
      <c r="C261" t="s">
        <v>36</v>
      </c>
      <c r="D261" t="s">
        <v>37</v>
      </c>
      <c r="E261" t="s">
        <v>21</v>
      </c>
      <c r="F261" t="s">
        <v>22</v>
      </c>
      <c r="G261" t="s">
        <v>23</v>
      </c>
      <c r="H261" s="3">
        <v>85591</v>
      </c>
      <c r="I261" s="3">
        <v>46037</v>
      </c>
      <c r="J261" s="3">
        <v>37799</v>
      </c>
      <c r="K261" s="3">
        <v>697</v>
      </c>
      <c r="L261" s="3">
        <v>101</v>
      </c>
      <c r="M261" s="3">
        <v>94</v>
      </c>
      <c r="N261" s="3">
        <v>58</v>
      </c>
      <c r="O261" s="3">
        <v>230</v>
      </c>
      <c r="P261" s="3"/>
      <c r="Q261" s="3">
        <v>950</v>
      </c>
      <c r="R261" s="4">
        <v>2.5099999999999998</v>
      </c>
      <c r="S261" s="6">
        <f>GlowNestSocialTable3[[#This Row],[Link Clicks]]/GlowNestSocialTable3[[#This Row],[Reach]]</f>
        <v>6.0848170586523453E-3</v>
      </c>
    </row>
    <row r="262" spans="1:19">
      <c r="A262" t="s">
        <v>297</v>
      </c>
      <c r="B262" s="2">
        <v>45814</v>
      </c>
      <c r="C262" t="s">
        <v>19</v>
      </c>
      <c r="D262" t="s">
        <v>20</v>
      </c>
      <c r="E262" t="s">
        <v>21</v>
      </c>
      <c r="F262" t="s">
        <v>44</v>
      </c>
      <c r="G262" t="s">
        <v>23</v>
      </c>
      <c r="H262" s="3">
        <v>72514</v>
      </c>
      <c r="I262" s="3">
        <v>35803</v>
      </c>
      <c r="J262" s="3">
        <v>31086</v>
      </c>
      <c r="K262" s="3">
        <v>1223</v>
      </c>
      <c r="L262" s="3">
        <v>137</v>
      </c>
      <c r="M262" s="3">
        <v>187</v>
      </c>
      <c r="N262" s="3">
        <v>526</v>
      </c>
      <c r="O262" s="3">
        <v>365</v>
      </c>
      <c r="P262" s="3">
        <v>18192</v>
      </c>
      <c r="Q262" s="3">
        <v>2073</v>
      </c>
      <c r="R262" s="4">
        <v>6.67</v>
      </c>
      <c r="S262" s="6">
        <f>GlowNestSocialTable3[[#This Row],[Link Clicks]]/GlowNestSocialTable3[[#This Row],[Reach]]</f>
        <v>1.1741620021874798E-2</v>
      </c>
    </row>
    <row r="263" spans="1:19">
      <c r="A263" t="s">
        <v>298</v>
      </c>
      <c r="B263" s="2">
        <v>45815</v>
      </c>
      <c r="C263" t="s">
        <v>33</v>
      </c>
      <c r="D263" t="s">
        <v>34</v>
      </c>
      <c r="E263" t="s">
        <v>27</v>
      </c>
      <c r="F263" t="s">
        <v>42</v>
      </c>
      <c r="G263" t="s">
        <v>23</v>
      </c>
      <c r="H263" s="3">
        <v>35487</v>
      </c>
      <c r="I263" s="3">
        <v>13378</v>
      </c>
      <c r="J263" s="3">
        <v>9527</v>
      </c>
      <c r="K263" s="3">
        <v>277</v>
      </c>
      <c r="L263" s="3">
        <v>27</v>
      </c>
      <c r="M263" s="3">
        <v>41</v>
      </c>
      <c r="N263" s="3">
        <v>34</v>
      </c>
      <c r="O263" s="3">
        <v>196</v>
      </c>
      <c r="P263" s="3"/>
      <c r="Q263" s="3">
        <v>379</v>
      </c>
      <c r="R263" s="4">
        <v>3.98</v>
      </c>
      <c r="S263" s="6">
        <f>GlowNestSocialTable3[[#This Row],[Link Clicks]]/GlowNestSocialTable3[[#This Row],[Reach]]</f>
        <v>2.0573108008817047E-2</v>
      </c>
    </row>
    <row r="264" spans="1:19">
      <c r="A264" t="s">
        <v>299</v>
      </c>
      <c r="B264" s="2">
        <v>45815</v>
      </c>
      <c r="C264" t="s">
        <v>19</v>
      </c>
      <c r="D264" t="s">
        <v>30</v>
      </c>
      <c r="E264" t="s">
        <v>21</v>
      </c>
      <c r="F264" t="s">
        <v>28</v>
      </c>
      <c r="G264" t="s">
        <v>23</v>
      </c>
      <c r="H264" s="3">
        <v>73015</v>
      </c>
      <c r="I264" s="3">
        <v>32514</v>
      </c>
      <c r="J264" s="3">
        <v>27224</v>
      </c>
      <c r="K264" s="3">
        <v>1141</v>
      </c>
      <c r="L264" s="3">
        <v>115</v>
      </c>
      <c r="M264" s="3">
        <v>109</v>
      </c>
      <c r="N264" s="3">
        <v>216</v>
      </c>
      <c r="O264" s="3">
        <v>295</v>
      </c>
      <c r="P264" s="3"/>
      <c r="Q264" s="3">
        <v>1581</v>
      </c>
      <c r="R264" s="4">
        <v>5.81</v>
      </c>
      <c r="S264" s="6">
        <f>GlowNestSocialTable3[[#This Row],[Link Clicks]]/GlowNestSocialTable3[[#This Row],[Reach]]</f>
        <v>1.0836027034969145E-2</v>
      </c>
    </row>
    <row r="265" spans="1:19">
      <c r="A265" t="s">
        <v>300</v>
      </c>
      <c r="B265" s="2">
        <v>45816</v>
      </c>
      <c r="C265" t="s">
        <v>19</v>
      </c>
      <c r="D265" t="s">
        <v>37</v>
      </c>
      <c r="E265" t="s">
        <v>25</v>
      </c>
      <c r="F265" t="s">
        <v>42</v>
      </c>
      <c r="G265" t="s">
        <v>23</v>
      </c>
      <c r="H265" s="3">
        <v>70956</v>
      </c>
      <c r="I265" s="3">
        <v>35625</v>
      </c>
      <c r="J265" s="3">
        <v>27492</v>
      </c>
      <c r="K265" s="3">
        <v>806</v>
      </c>
      <c r="L265" s="3">
        <v>129</v>
      </c>
      <c r="M265" s="3">
        <v>91</v>
      </c>
      <c r="N265" s="3">
        <v>127</v>
      </c>
      <c r="O265" s="3">
        <v>300</v>
      </c>
      <c r="P265" s="3"/>
      <c r="Q265" s="3">
        <v>1153</v>
      </c>
      <c r="R265" s="4">
        <v>4.1900000000000004</v>
      </c>
      <c r="S265" s="6">
        <f>GlowNestSocialTable3[[#This Row],[Link Clicks]]/GlowNestSocialTable3[[#This Row],[Reach]]</f>
        <v>1.0912265386294195E-2</v>
      </c>
    </row>
    <row r="266" spans="1:19">
      <c r="A266" t="s">
        <v>301</v>
      </c>
      <c r="B266" s="2">
        <v>45817</v>
      </c>
      <c r="C266" t="s">
        <v>19</v>
      </c>
      <c r="D266" t="s">
        <v>20</v>
      </c>
      <c r="E266" t="s">
        <v>21</v>
      </c>
      <c r="F266" t="s">
        <v>28</v>
      </c>
      <c r="G266" t="s">
        <v>23</v>
      </c>
      <c r="H266" s="3">
        <v>69052</v>
      </c>
      <c r="I266" s="3">
        <v>48599</v>
      </c>
      <c r="J266" s="3">
        <v>31925</v>
      </c>
      <c r="K266" s="3">
        <v>1639</v>
      </c>
      <c r="L266" s="3">
        <v>264</v>
      </c>
      <c r="M266" s="3">
        <v>140</v>
      </c>
      <c r="N266" s="3">
        <v>323</v>
      </c>
      <c r="O266" s="3">
        <v>253</v>
      </c>
      <c r="P266" s="3">
        <v>24218</v>
      </c>
      <c r="Q266" s="3">
        <v>2366</v>
      </c>
      <c r="R266" s="4">
        <v>7.41</v>
      </c>
      <c r="S266" s="6">
        <f>GlowNestSocialTable3[[#This Row],[Link Clicks]]/GlowNestSocialTable3[[#This Row],[Reach]]</f>
        <v>7.9248238057948311E-3</v>
      </c>
    </row>
    <row r="267" spans="1:19">
      <c r="A267" t="s">
        <v>302</v>
      </c>
      <c r="B267" s="2">
        <v>45817</v>
      </c>
      <c r="C267" t="s">
        <v>33</v>
      </c>
      <c r="D267" t="s">
        <v>20</v>
      </c>
      <c r="E267" t="s">
        <v>46</v>
      </c>
      <c r="F267" t="s">
        <v>44</v>
      </c>
      <c r="G267" t="s">
        <v>23</v>
      </c>
      <c r="H267" s="3">
        <v>33749</v>
      </c>
      <c r="I267" s="3">
        <v>9569</v>
      </c>
      <c r="J267" s="3">
        <v>7001</v>
      </c>
      <c r="K267" s="3">
        <v>234</v>
      </c>
      <c r="L267" s="3">
        <v>40</v>
      </c>
      <c r="M267" s="3">
        <v>34</v>
      </c>
      <c r="N267" s="3">
        <v>63</v>
      </c>
      <c r="O267" s="3">
        <v>83</v>
      </c>
      <c r="P267" s="3">
        <v>5936</v>
      </c>
      <c r="Q267" s="3">
        <v>371</v>
      </c>
      <c r="R267" s="4">
        <v>5.3</v>
      </c>
      <c r="S267" s="6">
        <f>GlowNestSocialTable3[[#This Row],[Link Clicks]]/GlowNestSocialTable3[[#This Row],[Reach]]</f>
        <v>1.185544922153978E-2</v>
      </c>
    </row>
    <row r="268" spans="1:19">
      <c r="A268" t="s">
        <v>303</v>
      </c>
      <c r="B268" s="2">
        <v>45818</v>
      </c>
      <c r="C268" t="s">
        <v>36</v>
      </c>
      <c r="D268" t="s">
        <v>30</v>
      </c>
      <c r="E268" t="s">
        <v>49</v>
      </c>
      <c r="F268" t="s">
        <v>42</v>
      </c>
      <c r="G268" t="s">
        <v>23</v>
      </c>
      <c r="H268" s="3">
        <v>86100</v>
      </c>
      <c r="I268" s="3">
        <v>50052</v>
      </c>
      <c r="J268" s="3">
        <v>42359</v>
      </c>
      <c r="K268" s="3">
        <v>463</v>
      </c>
      <c r="L268" s="3">
        <v>78</v>
      </c>
      <c r="M268" s="3">
        <v>73</v>
      </c>
      <c r="N268" s="3">
        <v>59</v>
      </c>
      <c r="O268" s="3">
        <v>157</v>
      </c>
      <c r="P268" s="3"/>
      <c r="Q268" s="3">
        <v>673</v>
      </c>
      <c r="R268" s="4">
        <v>1.59</v>
      </c>
      <c r="S268" s="6">
        <f>GlowNestSocialTable3[[#This Row],[Link Clicks]]/GlowNestSocialTable3[[#This Row],[Reach]]</f>
        <v>3.7064142212988975E-3</v>
      </c>
    </row>
    <row r="269" spans="1:19">
      <c r="A269" t="s">
        <v>304</v>
      </c>
      <c r="B269" s="2">
        <v>45819</v>
      </c>
      <c r="C269" t="s">
        <v>33</v>
      </c>
      <c r="D269" t="s">
        <v>34</v>
      </c>
      <c r="E269" t="s">
        <v>46</v>
      </c>
      <c r="F269" t="s">
        <v>44</v>
      </c>
      <c r="G269" t="s">
        <v>23</v>
      </c>
      <c r="H269" s="3">
        <v>33722</v>
      </c>
      <c r="I269" s="3">
        <v>6062</v>
      </c>
      <c r="J269" s="3">
        <v>4602</v>
      </c>
      <c r="K269" s="3">
        <v>94</v>
      </c>
      <c r="L269" s="3">
        <v>9</v>
      </c>
      <c r="M269" s="3">
        <v>8</v>
      </c>
      <c r="N269" s="3">
        <v>15</v>
      </c>
      <c r="O269" s="3">
        <v>86</v>
      </c>
      <c r="P269" s="3"/>
      <c r="Q269" s="3">
        <v>126</v>
      </c>
      <c r="R269" s="4">
        <v>2.74</v>
      </c>
      <c r="S269" s="6">
        <f>GlowNestSocialTable3[[#This Row],[Link Clicks]]/GlowNestSocialTable3[[#This Row],[Reach]]</f>
        <v>1.8687527162103434E-2</v>
      </c>
    </row>
    <row r="270" spans="1:19">
      <c r="A270" t="s">
        <v>305</v>
      </c>
      <c r="B270" s="2">
        <v>45819</v>
      </c>
      <c r="C270" t="s">
        <v>36</v>
      </c>
      <c r="D270" t="s">
        <v>20</v>
      </c>
      <c r="E270" t="s">
        <v>25</v>
      </c>
      <c r="F270" t="s">
        <v>31</v>
      </c>
      <c r="G270" t="s">
        <v>23</v>
      </c>
      <c r="H270" s="3">
        <v>84769</v>
      </c>
      <c r="I270" s="3">
        <v>70168</v>
      </c>
      <c r="J270" s="3">
        <v>57915</v>
      </c>
      <c r="K270" s="3">
        <v>890</v>
      </c>
      <c r="L270" s="3">
        <v>166</v>
      </c>
      <c r="M270" s="3">
        <v>110</v>
      </c>
      <c r="N270" s="3">
        <v>131</v>
      </c>
      <c r="O270" s="3">
        <v>214</v>
      </c>
      <c r="P270" s="3">
        <v>38592</v>
      </c>
      <c r="Q270" s="3">
        <v>1297</v>
      </c>
      <c r="R270" s="4">
        <v>2.2400000000000002</v>
      </c>
      <c r="S270" s="6">
        <f>GlowNestSocialTable3[[#This Row],[Link Clicks]]/GlowNestSocialTable3[[#This Row],[Reach]]</f>
        <v>3.6950703617370283E-3</v>
      </c>
    </row>
    <row r="271" spans="1:19">
      <c r="A271" t="s">
        <v>306</v>
      </c>
      <c r="B271" s="2">
        <v>45820</v>
      </c>
      <c r="C271" t="s">
        <v>19</v>
      </c>
      <c r="D271" t="s">
        <v>20</v>
      </c>
      <c r="E271" t="s">
        <v>25</v>
      </c>
      <c r="F271" t="s">
        <v>44</v>
      </c>
      <c r="G271" t="s">
        <v>23</v>
      </c>
      <c r="H271" s="3">
        <v>71999</v>
      </c>
      <c r="I271" s="3">
        <v>48011</v>
      </c>
      <c r="J271" s="3">
        <v>34436</v>
      </c>
      <c r="K271" s="3">
        <v>1300</v>
      </c>
      <c r="L271" s="3">
        <v>152</v>
      </c>
      <c r="M271" s="3">
        <v>137</v>
      </c>
      <c r="N271" s="3">
        <v>188</v>
      </c>
      <c r="O271" s="3">
        <v>301</v>
      </c>
      <c r="P271" s="3">
        <v>24971</v>
      </c>
      <c r="Q271" s="3">
        <v>1777</v>
      </c>
      <c r="R271" s="4">
        <v>5.16</v>
      </c>
      <c r="S271" s="6">
        <f>GlowNestSocialTable3[[#This Row],[Link Clicks]]/GlowNestSocialTable3[[#This Row],[Reach]]</f>
        <v>8.7408525961203392E-3</v>
      </c>
    </row>
    <row r="272" spans="1:19">
      <c r="A272" t="s">
        <v>307</v>
      </c>
      <c r="B272" s="2">
        <v>45820</v>
      </c>
      <c r="C272" t="s">
        <v>19</v>
      </c>
      <c r="D272" t="s">
        <v>20</v>
      </c>
      <c r="E272" t="s">
        <v>27</v>
      </c>
      <c r="F272" t="s">
        <v>31</v>
      </c>
      <c r="G272" t="s">
        <v>23</v>
      </c>
      <c r="H272" s="3">
        <v>72404</v>
      </c>
      <c r="I272" s="3">
        <v>48892</v>
      </c>
      <c r="J272" s="3">
        <v>34272</v>
      </c>
      <c r="K272" s="3">
        <v>2029</v>
      </c>
      <c r="L272" s="3">
        <v>348</v>
      </c>
      <c r="M272" s="3">
        <v>264</v>
      </c>
      <c r="N272" s="3">
        <v>244</v>
      </c>
      <c r="O272" s="3">
        <v>400</v>
      </c>
      <c r="P272" s="3">
        <v>30839</v>
      </c>
      <c r="Q272" s="3">
        <v>2885</v>
      </c>
      <c r="R272" s="4">
        <v>8.42</v>
      </c>
      <c r="S272" s="6">
        <f>GlowNestSocialTable3[[#This Row],[Link Clicks]]/GlowNestSocialTable3[[#This Row],[Reach]]</f>
        <v>1.1671335200746966E-2</v>
      </c>
    </row>
    <row r="273" spans="1:19">
      <c r="A273" t="s">
        <v>308</v>
      </c>
      <c r="B273" s="2">
        <v>45821</v>
      </c>
      <c r="C273" t="s">
        <v>33</v>
      </c>
      <c r="D273" t="s">
        <v>34</v>
      </c>
      <c r="E273" t="s">
        <v>25</v>
      </c>
      <c r="F273" t="s">
        <v>42</v>
      </c>
      <c r="G273" t="s">
        <v>38</v>
      </c>
      <c r="H273" s="3">
        <v>33033</v>
      </c>
      <c r="I273" s="3">
        <v>17175</v>
      </c>
      <c r="J273" s="3">
        <v>12522</v>
      </c>
      <c r="K273" s="3">
        <v>148</v>
      </c>
      <c r="L273" s="3">
        <v>21</v>
      </c>
      <c r="M273" s="3">
        <v>15</v>
      </c>
      <c r="N273" s="3">
        <v>14</v>
      </c>
      <c r="O273" s="3">
        <v>171</v>
      </c>
      <c r="P273" s="3"/>
      <c r="Q273" s="3">
        <v>198</v>
      </c>
      <c r="R273" s="4">
        <v>1.58</v>
      </c>
      <c r="S273" s="6">
        <f>GlowNestSocialTable3[[#This Row],[Link Clicks]]/GlowNestSocialTable3[[#This Row],[Reach]]</f>
        <v>1.3655965500718735E-2</v>
      </c>
    </row>
    <row r="274" spans="1:19">
      <c r="A274" t="s">
        <v>309</v>
      </c>
      <c r="B274" s="2">
        <v>45822</v>
      </c>
      <c r="C274" t="s">
        <v>19</v>
      </c>
      <c r="D274" t="s">
        <v>30</v>
      </c>
      <c r="E274" t="s">
        <v>49</v>
      </c>
      <c r="F274" t="s">
        <v>31</v>
      </c>
      <c r="G274" t="s">
        <v>23</v>
      </c>
      <c r="H274" s="3">
        <v>72430</v>
      </c>
      <c r="I274" s="3">
        <v>25156</v>
      </c>
      <c r="J274" s="3">
        <v>19092</v>
      </c>
      <c r="K274" s="3">
        <v>565</v>
      </c>
      <c r="L274" s="3">
        <v>95</v>
      </c>
      <c r="M274" s="3">
        <v>68</v>
      </c>
      <c r="N274" s="3">
        <v>46</v>
      </c>
      <c r="O274" s="3">
        <v>184</v>
      </c>
      <c r="P274" s="3"/>
      <c r="Q274" s="3">
        <v>774</v>
      </c>
      <c r="R274" s="4">
        <v>4.05</v>
      </c>
      <c r="S274" s="6">
        <f>GlowNestSocialTable3[[#This Row],[Link Clicks]]/GlowNestSocialTable3[[#This Row],[Reach]]</f>
        <v>9.6375445212654523E-3</v>
      </c>
    </row>
    <row r="275" spans="1:19">
      <c r="A275" t="s">
        <v>310</v>
      </c>
      <c r="B275" s="2">
        <v>45822</v>
      </c>
      <c r="C275" t="s">
        <v>33</v>
      </c>
      <c r="D275" t="s">
        <v>30</v>
      </c>
      <c r="E275" t="s">
        <v>27</v>
      </c>
      <c r="F275" t="s">
        <v>28</v>
      </c>
      <c r="G275" t="s">
        <v>23</v>
      </c>
      <c r="H275" s="3">
        <v>32444</v>
      </c>
      <c r="I275" s="3">
        <v>11877</v>
      </c>
      <c r="J275" s="3">
        <v>7833</v>
      </c>
      <c r="K275" s="3">
        <v>200</v>
      </c>
      <c r="L275" s="3">
        <v>31</v>
      </c>
      <c r="M275" s="3">
        <v>21</v>
      </c>
      <c r="N275" s="3">
        <v>15</v>
      </c>
      <c r="O275" s="3">
        <v>82</v>
      </c>
      <c r="P275" s="3"/>
      <c r="Q275" s="3">
        <v>267</v>
      </c>
      <c r="R275" s="4">
        <v>3.41</v>
      </c>
      <c r="S275" s="6">
        <f>GlowNestSocialTable3[[#This Row],[Link Clicks]]/GlowNestSocialTable3[[#This Row],[Reach]]</f>
        <v>1.0468530575769183E-2</v>
      </c>
    </row>
    <row r="276" spans="1:19">
      <c r="A276" t="s">
        <v>311</v>
      </c>
      <c r="B276" s="2">
        <v>45823</v>
      </c>
      <c r="C276" t="s">
        <v>36</v>
      </c>
      <c r="D276" t="s">
        <v>30</v>
      </c>
      <c r="E276" t="s">
        <v>25</v>
      </c>
      <c r="F276" t="s">
        <v>31</v>
      </c>
      <c r="G276" t="s">
        <v>23</v>
      </c>
      <c r="H276" s="3">
        <v>84669</v>
      </c>
      <c r="I276" s="3">
        <v>49196</v>
      </c>
      <c r="J276" s="3">
        <v>42198</v>
      </c>
      <c r="K276" s="3">
        <v>315</v>
      </c>
      <c r="L276" s="3">
        <v>53</v>
      </c>
      <c r="M276" s="3">
        <v>55</v>
      </c>
      <c r="N276" s="3">
        <v>38</v>
      </c>
      <c r="O276" s="3">
        <v>109</v>
      </c>
      <c r="P276" s="3"/>
      <c r="Q276" s="3">
        <v>461</v>
      </c>
      <c r="R276" s="4">
        <v>1.0900000000000001</v>
      </c>
      <c r="S276" s="6">
        <f>GlowNestSocialTable3[[#This Row],[Link Clicks]]/GlowNestSocialTable3[[#This Row],[Reach]]</f>
        <v>2.5830608085691265E-3</v>
      </c>
    </row>
    <row r="277" spans="1:19">
      <c r="A277" t="s">
        <v>312</v>
      </c>
      <c r="B277" s="2">
        <v>45823</v>
      </c>
      <c r="C277" t="s">
        <v>19</v>
      </c>
      <c r="D277" t="s">
        <v>20</v>
      </c>
      <c r="E277" t="s">
        <v>27</v>
      </c>
      <c r="F277" t="s">
        <v>44</v>
      </c>
      <c r="G277" t="s">
        <v>23</v>
      </c>
      <c r="H277" s="3">
        <v>71148</v>
      </c>
      <c r="I277" s="3">
        <v>47369</v>
      </c>
      <c r="J277" s="3">
        <v>36896</v>
      </c>
      <c r="K277" s="3">
        <v>2522</v>
      </c>
      <c r="L277" s="3">
        <v>396</v>
      </c>
      <c r="M277" s="3">
        <v>345</v>
      </c>
      <c r="N277" s="3">
        <v>242</v>
      </c>
      <c r="O277" s="3">
        <v>605</v>
      </c>
      <c r="P277" s="3">
        <v>29116</v>
      </c>
      <c r="Q277" s="3">
        <v>3505</v>
      </c>
      <c r="R277" s="4">
        <v>9.5</v>
      </c>
      <c r="S277" s="6">
        <f>GlowNestSocialTable3[[#This Row],[Link Clicks]]/GlowNestSocialTable3[[#This Row],[Reach]]</f>
        <v>1.6397441457068517E-2</v>
      </c>
    </row>
    <row r="278" spans="1:19">
      <c r="A278" t="s">
        <v>313</v>
      </c>
      <c r="B278" s="2">
        <v>45824</v>
      </c>
      <c r="C278" t="s">
        <v>36</v>
      </c>
      <c r="D278" t="s">
        <v>34</v>
      </c>
      <c r="E278" t="s">
        <v>27</v>
      </c>
      <c r="F278" t="s">
        <v>44</v>
      </c>
      <c r="G278" t="s">
        <v>23</v>
      </c>
      <c r="H278" s="3">
        <v>86059</v>
      </c>
      <c r="I278" s="3">
        <v>45489</v>
      </c>
      <c r="J278" s="3">
        <v>37848</v>
      </c>
      <c r="K278" s="3">
        <v>672</v>
      </c>
      <c r="L278" s="3">
        <v>100</v>
      </c>
      <c r="M278" s="3">
        <v>89</v>
      </c>
      <c r="N278" s="3">
        <v>41</v>
      </c>
      <c r="O278" s="3">
        <v>313</v>
      </c>
      <c r="P278" s="3"/>
      <c r="Q278" s="3">
        <v>902</v>
      </c>
      <c r="R278" s="4">
        <v>2.38</v>
      </c>
      <c r="S278" s="6">
        <f>GlowNestSocialTable3[[#This Row],[Link Clicks]]/GlowNestSocialTable3[[#This Row],[Reach]]</f>
        <v>8.2699217924328897E-3</v>
      </c>
    </row>
    <row r="279" spans="1:19">
      <c r="A279" t="s">
        <v>314</v>
      </c>
      <c r="B279" s="2">
        <v>45825</v>
      </c>
      <c r="C279" t="s">
        <v>19</v>
      </c>
      <c r="D279" t="s">
        <v>37</v>
      </c>
      <c r="E279" t="s">
        <v>21</v>
      </c>
      <c r="F279" t="s">
        <v>42</v>
      </c>
      <c r="G279" t="s">
        <v>23</v>
      </c>
      <c r="H279" s="3">
        <v>70641</v>
      </c>
      <c r="I279" s="3">
        <v>29691</v>
      </c>
      <c r="J279" s="3">
        <v>24145</v>
      </c>
      <c r="K279" s="3">
        <v>896</v>
      </c>
      <c r="L279" s="3">
        <v>152</v>
      </c>
      <c r="M279" s="3">
        <v>74</v>
      </c>
      <c r="N279" s="3">
        <v>73</v>
      </c>
      <c r="O279" s="3">
        <v>264</v>
      </c>
      <c r="P279" s="3"/>
      <c r="Q279" s="3">
        <v>1195</v>
      </c>
      <c r="R279" s="4">
        <v>4.95</v>
      </c>
      <c r="S279" s="6">
        <f>GlowNestSocialTable3[[#This Row],[Link Clicks]]/GlowNestSocialTable3[[#This Row],[Reach]]</f>
        <v>1.0933940774487472E-2</v>
      </c>
    </row>
    <row r="280" spans="1:19">
      <c r="A280" t="s">
        <v>315</v>
      </c>
      <c r="B280" s="2">
        <v>45825</v>
      </c>
      <c r="C280" t="s">
        <v>193</v>
      </c>
      <c r="D280" t="s">
        <v>20</v>
      </c>
      <c r="E280" t="s">
        <v>25</v>
      </c>
      <c r="F280" t="s">
        <v>44</v>
      </c>
      <c r="G280" t="s">
        <v>23</v>
      </c>
      <c r="H280" s="3">
        <v>71965</v>
      </c>
      <c r="I280" s="3">
        <v>32772</v>
      </c>
      <c r="J280" s="3">
        <v>27146</v>
      </c>
      <c r="K280" s="3">
        <v>771</v>
      </c>
      <c r="L280" s="3">
        <v>112</v>
      </c>
      <c r="M280" s="3">
        <v>127</v>
      </c>
      <c r="N280" s="3">
        <v>79</v>
      </c>
      <c r="O280" s="3">
        <v>287</v>
      </c>
      <c r="P280" s="3">
        <v>18817</v>
      </c>
      <c r="Q280" s="3">
        <v>1089</v>
      </c>
      <c r="R280" s="4">
        <v>4.01</v>
      </c>
      <c r="S280" s="6">
        <f>GlowNestSocialTable3[[#This Row],[Link Clicks]]/GlowNestSocialTable3[[#This Row],[Reach]]</f>
        <v>1.0572460030943786E-2</v>
      </c>
    </row>
    <row r="281" spans="1:19">
      <c r="A281" t="s">
        <v>316</v>
      </c>
      <c r="B281" s="2">
        <v>45826</v>
      </c>
      <c r="C281" t="s">
        <v>19</v>
      </c>
      <c r="D281" t="s">
        <v>37</v>
      </c>
      <c r="E281" t="s">
        <v>21</v>
      </c>
      <c r="F281" t="s">
        <v>22</v>
      </c>
      <c r="G281" t="s">
        <v>23</v>
      </c>
      <c r="H281" s="3">
        <v>73459</v>
      </c>
      <c r="I281" s="3">
        <v>36252</v>
      </c>
      <c r="J281" s="3">
        <v>27770</v>
      </c>
      <c r="K281" s="3">
        <v>935</v>
      </c>
      <c r="L281" s="3">
        <v>175</v>
      </c>
      <c r="M281" s="3">
        <v>147</v>
      </c>
      <c r="N281" s="3">
        <v>265</v>
      </c>
      <c r="O281" s="3">
        <v>337</v>
      </c>
      <c r="P281" s="3"/>
      <c r="Q281" s="3">
        <v>1522</v>
      </c>
      <c r="R281" s="4">
        <v>5.48</v>
      </c>
      <c r="S281" s="6">
        <f>GlowNestSocialTable3[[#This Row],[Link Clicks]]/GlowNestSocialTable3[[#This Row],[Reach]]</f>
        <v>1.2135397911415196E-2</v>
      </c>
    </row>
    <row r="282" spans="1:19">
      <c r="A282" t="s">
        <v>317</v>
      </c>
      <c r="B282" s="2">
        <v>45826</v>
      </c>
      <c r="C282" t="s">
        <v>33</v>
      </c>
      <c r="D282" t="s">
        <v>34</v>
      </c>
      <c r="E282" t="s">
        <v>27</v>
      </c>
      <c r="F282" t="s">
        <v>31</v>
      </c>
      <c r="G282" t="s">
        <v>23</v>
      </c>
      <c r="H282" s="3">
        <v>34683</v>
      </c>
      <c r="I282" s="3">
        <v>10391</v>
      </c>
      <c r="J282" s="3">
        <v>8805</v>
      </c>
      <c r="K282" s="3">
        <v>259</v>
      </c>
      <c r="L282" s="3">
        <v>27</v>
      </c>
      <c r="M282" s="3">
        <v>22</v>
      </c>
      <c r="N282" s="3">
        <v>34</v>
      </c>
      <c r="O282" s="3">
        <v>162</v>
      </c>
      <c r="P282" s="3"/>
      <c r="Q282" s="3">
        <v>342</v>
      </c>
      <c r="R282" s="4">
        <v>3.88</v>
      </c>
      <c r="S282" s="6">
        <f>GlowNestSocialTable3[[#This Row],[Link Clicks]]/GlowNestSocialTable3[[#This Row],[Reach]]</f>
        <v>1.8398637137989778E-2</v>
      </c>
    </row>
    <row r="283" spans="1:19">
      <c r="A283" t="s">
        <v>318</v>
      </c>
      <c r="B283" s="2">
        <v>45827</v>
      </c>
      <c r="C283" t="s">
        <v>33</v>
      </c>
      <c r="D283" t="s">
        <v>30</v>
      </c>
      <c r="E283" t="s">
        <v>46</v>
      </c>
      <c r="F283" t="s">
        <v>42</v>
      </c>
      <c r="G283" t="s">
        <v>38</v>
      </c>
      <c r="H283" s="3">
        <v>34502</v>
      </c>
      <c r="I283" s="3">
        <v>13222</v>
      </c>
      <c r="J283" s="3">
        <v>11594</v>
      </c>
      <c r="K283" s="3">
        <v>266</v>
      </c>
      <c r="L283" s="3">
        <v>42</v>
      </c>
      <c r="M283" s="3">
        <v>37</v>
      </c>
      <c r="N283" s="3">
        <v>49</v>
      </c>
      <c r="O283" s="3">
        <v>117</v>
      </c>
      <c r="P283" s="3"/>
      <c r="Q283" s="3">
        <v>394</v>
      </c>
      <c r="R283" s="4">
        <v>3.4</v>
      </c>
      <c r="S283" s="6">
        <f>GlowNestSocialTable3[[#This Row],[Link Clicks]]/GlowNestSocialTable3[[#This Row],[Reach]]</f>
        <v>1.00914265999655E-2</v>
      </c>
    </row>
    <row r="284" spans="1:19">
      <c r="A284" t="s">
        <v>319</v>
      </c>
      <c r="B284" s="2">
        <v>45828</v>
      </c>
      <c r="C284" t="s">
        <v>36</v>
      </c>
      <c r="D284" t="s">
        <v>34</v>
      </c>
      <c r="E284" t="s">
        <v>27</v>
      </c>
      <c r="F284" t="s">
        <v>28</v>
      </c>
      <c r="G284" t="s">
        <v>23</v>
      </c>
      <c r="H284" s="3">
        <v>89182</v>
      </c>
      <c r="I284" s="3">
        <v>60710</v>
      </c>
      <c r="J284" s="3">
        <v>41309</v>
      </c>
      <c r="K284" s="3">
        <v>764</v>
      </c>
      <c r="L284" s="3">
        <v>85</v>
      </c>
      <c r="M284" s="3">
        <v>82</v>
      </c>
      <c r="N284" s="3">
        <v>102</v>
      </c>
      <c r="O284" s="3">
        <v>290</v>
      </c>
      <c r="P284" s="3"/>
      <c r="Q284" s="3">
        <v>1033</v>
      </c>
      <c r="R284" s="4">
        <v>2.5</v>
      </c>
      <c r="S284" s="6">
        <f>GlowNestSocialTable3[[#This Row],[Link Clicks]]/GlowNestSocialTable3[[#This Row],[Reach]]</f>
        <v>7.0202619283933282E-3</v>
      </c>
    </row>
    <row r="285" spans="1:19">
      <c r="A285" t="s">
        <v>320</v>
      </c>
      <c r="B285" s="2">
        <v>45828</v>
      </c>
      <c r="C285" t="s">
        <v>19</v>
      </c>
      <c r="D285" t="s">
        <v>20</v>
      </c>
      <c r="E285" t="s">
        <v>46</v>
      </c>
      <c r="F285" t="s">
        <v>44</v>
      </c>
      <c r="G285" t="s">
        <v>23</v>
      </c>
      <c r="H285" s="3">
        <v>71210</v>
      </c>
      <c r="I285" s="3">
        <v>32801</v>
      </c>
      <c r="J285" s="3">
        <v>25010</v>
      </c>
      <c r="K285" s="3">
        <v>1057</v>
      </c>
      <c r="L285" s="3">
        <v>143</v>
      </c>
      <c r="M285" s="3">
        <v>113</v>
      </c>
      <c r="N285" s="3">
        <v>157</v>
      </c>
      <c r="O285" s="3">
        <v>329</v>
      </c>
      <c r="P285" s="3">
        <v>18807</v>
      </c>
      <c r="Q285" s="3">
        <v>1470</v>
      </c>
      <c r="R285" s="4">
        <v>5.88</v>
      </c>
      <c r="S285" s="6">
        <f>GlowNestSocialTable3[[#This Row],[Link Clicks]]/GlowNestSocialTable3[[#This Row],[Reach]]</f>
        <v>1.3154738104758097E-2</v>
      </c>
    </row>
    <row r="286" spans="1:19">
      <c r="A286" t="s">
        <v>321</v>
      </c>
      <c r="B286" s="2">
        <v>45829</v>
      </c>
      <c r="C286" t="s">
        <v>36</v>
      </c>
      <c r="D286" t="s">
        <v>37</v>
      </c>
      <c r="E286" t="s">
        <v>46</v>
      </c>
      <c r="F286" t="s">
        <v>22</v>
      </c>
      <c r="G286" t="s">
        <v>23</v>
      </c>
      <c r="H286" s="3">
        <v>85552</v>
      </c>
      <c r="I286" s="3">
        <v>49671</v>
      </c>
      <c r="J286" s="3">
        <v>33733</v>
      </c>
      <c r="K286" s="3">
        <v>624</v>
      </c>
      <c r="L286" s="3">
        <v>114</v>
      </c>
      <c r="M286" s="3">
        <v>56</v>
      </c>
      <c r="N286" s="3">
        <v>100</v>
      </c>
      <c r="O286" s="3">
        <v>188</v>
      </c>
      <c r="P286" s="3"/>
      <c r="Q286" s="3">
        <v>894</v>
      </c>
      <c r="R286" s="4">
        <v>2.65</v>
      </c>
      <c r="S286" s="6">
        <f>GlowNestSocialTable3[[#This Row],[Link Clicks]]/GlowNestSocialTable3[[#This Row],[Reach]]</f>
        <v>5.5731776005691755E-3</v>
      </c>
    </row>
    <row r="287" spans="1:19">
      <c r="A287" t="s">
        <v>322</v>
      </c>
      <c r="B287" s="2">
        <v>45829</v>
      </c>
      <c r="C287" t="s">
        <v>33</v>
      </c>
      <c r="D287" t="s">
        <v>34</v>
      </c>
      <c r="E287" t="s">
        <v>49</v>
      </c>
      <c r="F287" t="s">
        <v>44</v>
      </c>
      <c r="G287" t="s">
        <v>23</v>
      </c>
      <c r="H287" s="3">
        <v>33128</v>
      </c>
      <c r="I287" s="3">
        <v>9616</v>
      </c>
      <c r="J287" s="3">
        <v>7228</v>
      </c>
      <c r="K287" s="3">
        <v>160</v>
      </c>
      <c r="L287" s="3">
        <v>17</v>
      </c>
      <c r="M287" s="3">
        <v>14</v>
      </c>
      <c r="N287" s="3">
        <v>14</v>
      </c>
      <c r="O287" s="3">
        <v>82</v>
      </c>
      <c r="P287" s="3"/>
      <c r="Q287" s="3">
        <v>205</v>
      </c>
      <c r="R287" s="4">
        <v>2.84</v>
      </c>
      <c r="S287" s="6">
        <f>GlowNestSocialTable3[[#This Row],[Link Clicks]]/GlowNestSocialTable3[[#This Row],[Reach]]</f>
        <v>1.1344770337576093E-2</v>
      </c>
    </row>
    <row r="288" spans="1:19">
      <c r="A288" t="s">
        <v>323</v>
      </c>
      <c r="B288" s="2">
        <v>45830</v>
      </c>
      <c r="C288" t="s">
        <v>19</v>
      </c>
      <c r="D288" t="s">
        <v>30</v>
      </c>
      <c r="E288" t="s">
        <v>27</v>
      </c>
      <c r="F288" t="s">
        <v>22</v>
      </c>
      <c r="G288" t="s">
        <v>23</v>
      </c>
      <c r="H288" s="3">
        <v>71823</v>
      </c>
      <c r="I288" s="3">
        <v>27218</v>
      </c>
      <c r="J288" s="3">
        <v>22345</v>
      </c>
      <c r="K288" s="3">
        <v>682</v>
      </c>
      <c r="L288" s="3">
        <v>88</v>
      </c>
      <c r="M288" s="3">
        <v>114</v>
      </c>
      <c r="N288" s="3">
        <v>169</v>
      </c>
      <c r="O288" s="3">
        <v>211</v>
      </c>
      <c r="P288" s="3"/>
      <c r="Q288" s="3">
        <v>1053</v>
      </c>
      <c r="R288" s="4">
        <v>4.71</v>
      </c>
      <c r="S288" s="6">
        <f>GlowNestSocialTable3[[#This Row],[Link Clicks]]/GlowNestSocialTable3[[#This Row],[Reach]]</f>
        <v>9.4428283732378611E-3</v>
      </c>
    </row>
    <row r="289" spans="1:19">
      <c r="A289" t="s">
        <v>324</v>
      </c>
      <c r="B289" s="2">
        <v>45831</v>
      </c>
      <c r="C289" t="s">
        <v>33</v>
      </c>
      <c r="D289" t="s">
        <v>34</v>
      </c>
      <c r="E289" t="s">
        <v>46</v>
      </c>
      <c r="F289" t="s">
        <v>31</v>
      </c>
      <c r="G289" t="s">
        <v>23</v>
      </c>
      <c r="H289" s="3">
        <v>34497</v>
      </c>
      <c r="I289" s="3">
        <v>8313</v>
      </c>
      <c r="J289" s="3">
        <v>6426</v>
      </c>
      <c r="K289" s="3">
        <v>139</v>
      </c>
      <c r="L289" s="3">
        <v>20</v>
      </c>
      <c r="M289" s="3">
        <v>20</v>
      </c>
      <c r="N289" s="3">
        <v>19</v>
      </c>
      <c r="O289" s="3">
        <v>103</v>
      </c>
      <c r="P289" s="3"/>
      <c r="Q289" s="3">
        <v>198</v>
      </c>
      <c r="R289" s="4">
        <v>3.08</v>
      </c>
      <c r="S289" s="6">
        <f>GlowNestSocialTable3[[#This Row],[Link Clicks]]/GlowNestSocialTable3[[#This Row],[Reach]]</f>
        <v>1.6028633675692499E-2</v>
      </c>
    </row>
    <row r="290" spans="1:19">
      <c r="A290" t="s">
        <v>325</v>
      </c>
      <c r="B290" s="2">
        <v>45831</v>
      </c>
      <c r="C290" t="s">
        <v>36</v>
      </c>
      <c r="D290" t="s">
        <v>20</v>
      </c>
      <c r="E290" t="s">
        <v>27</v>
      </c>
      <c r="F290" t="s">
        <v>28</v>
      </c>
      <c r="G290" t="s">
        <v>23</v>
      </c>
      <c r="H290" s="3">
        <v>86222</v>
      </c>
      <c r="I290" s="3">
        <v>53967</v>
      </c>
      <c r="J290" s="3">
        <v>41482</v>
      </c>
      <c r="K290" s="3">
        <v>1114</v>
      </c>
      <c r="L290" s="3">
        <v>158</v>
      </c>
      <c r="M290" s="3">
        <v>101</v>
      </c>
      <c r="N290" s="3">
        <v>229</v>
      </c>
      <c r="O290" s="3">
        <v>200</v>
      </c>
      <c r="P290" s="3">
        <v>28870</v>
      </c>
      <c r="Q290" s="3">
        <v>1602</v>
      </c>
      <c r="R290" s="4">
        <v>3.86</v>
      </c>
      <c r="S290" s="6">
        <f>GlowNestSocialTable3[[#This Row],[Link Clicks]]/GlowNestSocialTable3[[#This Row],[Reach]]</f>
        <v>4.8213683043247671E-3</v>
      </c>
    </row>
    <row r="291" spans="1:19">
      <c r="A291" t="s">
        <v>326</v>
      </c>
      <c r="B291" s="2">
        <v>45832</v>
      </c>
      <c r="C291" t="s">
        <v>36</v>
      </c>
      <c r="D291" t="s">
        <v>30</v>
      </c>
      <c r="E291" t="s">
        <v>27</v>
      </c>
      <c r="F291" t="s">
        <v>28</v>
      </c>
      <c r="G291" t="s">
        <v>23</v>
      </c>
      <c r="H291" s="3">
        <v>87431</v>
      </c>
      <c r="I291" s="3">
        <v>43076</v>
      </c>
      <c r="J291" s="3">
        <v>32073</v>
      </c>
      <c r="K291" s="3">
        <v>549</v>
      </c>
      <c r="L291" s="3">
        <v>100</v>
      </c>
      <c r="M291" s="3">
        <v>53</v>
      </c>
      <c r="N291" s="3">
        <v>111</v>
      </c>
      <c r="O291" s="3">
        <v>134</v>
      </c>
      <c r="P291" s="3"/>
      <c r="Q291" s="3">
        <v>813</v>
      </c>
      <c r="R291" s="4">
        <v>2.5299999999999998</v>
      </c>
      <c r="S291" s="6">
        <f>GlowNestSocialTable3[[#This Row],[Link Clicks]]/GlowNestSocialTable3[[#This Row],[Reach]]</f>
        <v>4.1779690082000441E-3</v>
      </c>
    </row>
    <row r="292" spans="1:19">
      <c r="A292" t="s">
        <v>327</v>
      </c>
      <c r="B292" s="2">
        <v>45833</v>
      </c>
      <c r="C292" t="s">
        <v>33</v>
      </c>
      <c r="D292" t="s">
        <v>34</v>
      </c>
      <c r="E292" t="s">
        <v>25</v>
      </c>
      <c r="F292" t="s">
        <v>22</v>
      </c>
      <c r="G292" t="s">
        <v>23</v>
      </c>
      <c r="H292" s="3">
        <v>33522</v>
      </c>
      <c r="I292" s="3">
        <v>10307</v>
      </c>
      <c r="J292" s="3">
        <v>8121</v>
      </c>
      <c r="K292" s="3">
        <v>121</v>
      </c>
      <c r="L292" s="3">
        <v>13</v>
      </c>
      <c r="M292" s="3">
        <v>11</v>
      </c>
      <c r="N292" s="3">
        <v>10</v>
      </c>
      <c r="O292" s="3">
        <v>81</v>
      </c>
      <c r="P292" s="3"/>
      <c r="Q292" s="3">
        <v>155</v>
      </c>
      <c r="R292" s="4">
        <v>1.91</v>
      </c>
      <c r="S292" s="6">
        <f>GlowNestSocialTable3[[#This Row],[Link Clicks]]/GlowNestSocialTable3[[#This Row],[Reach]]</f>
        <v>9.9741411156261551E-3</v>
      </c>
    </row>
    <row r="293" spans="1:19">
      <c r="A293" t="s">
        <v>328</v>
      </c>
      <c r="B293" s="2">
        <v>45833</v>
      </c>
      <c r="C293" t="s">
        <v>19</v>
      </c>
      <c r="D293" t="s">
        <v>30</v>
      </c>
      <c r="E293" t="s">
        <v>25</v>
      </c>
      <c r="F293" t="s">
        <v>42</v>
      </c>
      <c r="G293" t="s">
        <v>23</v>
      </c>
      <c r="H293" s="3">
        <v>71222</v>
      </c>
      <c r="I293" s="3">
        <v>19985</v>
      </c>
      <c r="J293" s="3">
        <v>17680</v>
      </c>
      <c r="K293" s="3">
        <v>335</v>
      </c>
      <c r="L293" s="3">
        <v>40</v>
      </c>
      <c r="M293" s="3">
        <v>47</v>
      </c>
      <c r="N293" s="3">
        <v>21</v>
      </c>
      <c r="O293" s="3">
        <v>143</v>
      </c>
      <c r="P293" s="3"/>
      <c r="Q293" s="3">
        <v>443</v>
      </c>
      <c r="R293" s="4">
        <v>2.5099999999999998</v>
      </c>
      <c r="S293" s="6">
        <f>GlowNestSocialTable3[[#This Row],[Link Clicks]]/GlowNestSocialTable3[[#This Row],[Reach]]</f>
        <v>8.0882352941176478E-3</v>
      </c>
    </row>
    <row r="294" spans="1:19">
      <c r="A294" t="s">
        <v>329</v>
      </c>
      <c r="B294" s="2">
        <v>45834</v>
      </c>
      <c r="C294" t="s">
        <v>19</v>
      </c>
      <c r="D294" t="s">
        <v>34</v>
      </c>
      <c r="E294" t="s">
        <v>46</v>
      </c>
      <c r="F294" t="s">
        <v>44</v>
      </c>
      <c r="G294" t="s">
        <v>38</v>
      </c>
      <c r="H294" s="3">
        <v>72977</v>
      </c>
      <c r="I294" s="3">
        <v>32551</v>
      </c>
      <c r="J294" s="3">
        <v>27216</v>
      </c>
      <c r="K294" s="3">
        <v>911</v>
      </c>
      <c r="L294" s="3">
        <v>99</v>
      </c>
      <c r="M294" s="3">
        <v>99</v>
      </c>
      <c r="N294" s="3">
        <v>70</v>
      </c>
      <c r="O294" s="3">
        <v>464</v>
      </c>
      <c r="P294" s="3"/>
      <c r="Q294" s="3">
        <v>1179</v>
      </c>
      <c r="R294" s="4">
        <v>4.33</v>
      </c>
      <c r="S294" s="6">
        <f>GlowNestSocialTable3[[#This Row],[Link Clicks]]/GlowNestSocialTable3[[#This Row],[Reach]]</f>
        <v>1.7048794826572605E-2</v>
      </c>
    </row>
    <row r="295" spans="1:19">
      <c r="A295" t="s">
        <v>330</v>
      </c>
      <c r="B295" s="2">
        <v>45834</v>
      </c>
      <c r="C295" t="s">
        <v>36</v>
      </c>
      <c r="D295" t="s">
        <v>34</v>
      </c>
      <c r="E295" t="s">
        <v>25</v>
      </c>
      <c r="F295" t="s">
        <v>42</v>
      </c>
      <c r="G295" t="s">
        <v>23</v>
      </c>
      <c r="H295" s="3">
        <v>86281</v>
      </c>
      <c r="I295" s="3">
        <v>41945</v>
      </c>
      <c r="J295" s="3">
        <v>35009</v>
      </c>
      <c r="K295" s="3">
        <v>291</v>
      </c>
      <c r="L295" s="3">
        <v>48</v>
      </c>
      <c r="M295" s="3">
        <v>38</v>
      </c>
      <c r="N295" s="3">
        <v>9</v>
      </c>
      <c r="O295" s="3">
        <v>120</v>
      </c>
      <c r="P295" s="3"/>
      <c r="Q295" s="3">
        <v>386</v>
      </c>
      <c r="R295" s="4">
        <v>1.1000000000000001</v>
      </c>
      <c r="S295" s="6">
        <f>GlowNestSocialTable3[[#This Row],[Link Clicks]]/GlowNestSocialTable3[[#This Row],[Reach]]</f>
        <v>3.4276900225656262E-3</v>
      </c>
    </row>
    <row r="296" spans="1:19">
      <c r="A296" t="s">
        <v>331</v>
      </c>
      <c r="B296" s="2">
        <v>45835</v>
      </c>
      <c r="C296" t="s">
        <v>36</v>
      </c>
      <c r="D296" t="s">
        <v>34</v>
      </c>
      <c r="E296" t="s">
        <v>46</v>
      </c>
      <c r="F296" t="s">
        <v>42</v>
      </c>
      <c r="G296" t="s">
        <v>23</v>
      </c>
      <c r="H296" s="3">
        <v>88016</v>
      </c>
      <c r="I296" s="3">
        <v>33496</v>
      </c>
      <c r="J296" s="3">
        <v>28080</v>
      </c>
      <c r="K296" s="3">
        <v>285</v>
      </c>
      <c r="L296" s="3">
        <v>50</v>
      </c>
      <c r="M296" s="3">
        <v>45</v>
      </c>
      <c r="N296" s="3">
        <v>7</v>
      </c>
      <c r="O296" s="3">
        <v>163</v>
      </c>
      <c r="P296" s="3"/>
      <c r="Q296" s="3">
        <v>387</v>
      </c>
      <c r="R296" s="4">
        <v>1.38</v>
      </c>
      <c r="S296" s="6">
        <f>GlowNestSocialTable3[[#This Row],[Link Clicks]]/GlowNestSocialTable3[[#This Row],[Reach]]</f>
        <v>5.8048433048433047E-3</v>
      </c>
    </row>
    <row r="297" spans="1:19">
      <c r="A297" t="s">
        <v>332</v>
      </c>
      <c r="B297" s="2">
        <v>45836</v>
      </c>
      <c r="C297" t="s">
        <v>19</v>
      </c>
      <c r="D297" t="s">
        <v>37</v>
      </c>
      <c r="E297" t="s">
        <v>25</v>
      </c>
      <c r="F297" t="s">
        <v>28</v>
      </c>
      <c r="G297" t="s">
        <v>23</v>
      </c>
      <c r="H297" s="3">
        <v>73915</v>
      </c>
      <c r="I297" s="3">
        <v>32021</v>
      </c>
      <c r="J297" s="3">
        <v>22641</v>
      </c>
      <c r="K297" s="3">
        <v>634</v>
      </c>
      <c r="L297" s="3">
        <v>74</v>
      </c>
      <c r="M297" s="3">
        <v>69</v>
      </c>
      <c r="N297" s="3">
        <v>52</v>
      </c>
      <c r="O297" s="3">
        <v>175</v>
      </c>
      <c r="P297" s="3"/>
      <c r="Q297" s="3">
        <v>829</v>
      </c>
      <c r="R297" s="4">
        <v>3.66</v>
      </c>
      <c r="S297" s="6">
        <f>GlowNestSocialTable3[[#This Row],[Link Clicks]]/GlowNestSocialTable3[[#This Row],[Reach]]</f>
        <v>7.7293405768296452E-3</v>
      </c>
    </row>
    <row r="298" spans="1:19">
      <c r="A298" t="s">
        <v>333</v>
      </c>
      <c r="B298" s="2">
        <v>45836</v>
      </c>
      <c r="C298" t="s">
        <v>19</v>
      </c>
      <c r="D298" t="s">
        <v>20</v>
      </c>
      <c r="E298" t="s">
        <v>21</v>
      </c>
      <c r="F298" t="s">
        <v>44</v>
      </c>
      <c r="G298" t="s">
        <v>23</v>
      </c>
      <c r="H298" s="3">
        <v>69224</v>
      </c>
      <c r="I298" s="3">
        <v>39257</v>
      </c>
      <c r="J298" s="3">
        <v>26027</v>
      </c>
      <c r="K298" s="3">
        <v>1151</v>
      </c>
      <c r="L298" s="3">
        <v>199</v>
      </c>
      <c r="M298" s="3">
        <v>157</v>
      </c>
      <c r="N298" s="3">
        <v>187</v>
      </c>
      <c r="O298" s="3">
        <v>275</v>
      </c>
      <c r="P298" s="3">
        <v>14838</v>
      </c>
      <c r="Q298" s="3">
        <v>1694</v>
      </c>
      <c r="R298" s="4">
        <v>6.51</v>
      </c>
      <c r="S298" s="6">
        <f>GlowNestSocialTable3[[#This Row],[Link Clicks]]/GlowNestSocialTable3[[#This Row],[Reach]]</f>
        <v>1.0565950743458716E-2</v>
      </c>
    </row>
    <row r="299" spans="1:19">
      <c r="A299" t="s">
        <v>334</v>
      </c>
      <c r="B299" s="2">
        <v>45837</v>
      </c>
      <c r="C299" t="s">
        <v>19</v>
      </c>
      <c r="D299" t="s">
        <v>30</v>
      </c>
      <c r="E299" t="s">
        <v>46</v>
      </c>
      <c r="F299" t="s">
        <v>44</v>
      </c>
      <c r="G299" t="s">
        <v>23</v>
      </c>
      <c r="H299" s="3">
        <v>73473</v>
      </c>
      <c r="I299" s="3">
        <v>27220</v>
      </c>
      <c r="J299" s="3">
        <v>25030</v>
      </c>
      <c r="K299" s="3">
        <v>837</v>
      </c>
      <c r="L299" s="3">
        <v>120</v>
      </c>
      <c r="M299" s="3">
        <v>104</v>
      </c>
      <c r="N299" s="3">
        <v>204</v>
      </c>
      <c r="O299" s="3">
        <v>249</v>
      </c>
      <c r="P299" s="3"/>
      <c r="Q299" s="3">
        <v>1265</v>
      </c>
      <c r="R299" s="4">
        <v>5.05</v>
      </c>
      <c r="S299" s="6">
        <f>GlowNestSocialTable3[[#This Row],[Link Clicks]]/GlowNestSocialTable3[[#This Row],[Reach]]</f>
        <v>9.9480623252097486E-3</v>
      </c>
    </row>
    <row r="300" spans="1:19">
      <c r="A300" t="s">
        <v>335</v>
      </c>
      <c r="B300" s="2">
        <v>45837</v>
      </c>
      <c r="C300" t="s">
        <v>36</v>
      </c>
      <c r="D300" t="s">
        <v>20</v>
      </c>
      <c r="E300" t="s">
        <v>27</v>
      </c>
      <c r="F300" t="s">
        <v>42</v>
      </c>
      <c r="G300" t="s">
        <v>23</v>
      </c>
      <c r="H300" s="3">
        <v>86743</v>
      </c>
      <c r="I300" s="3">
        <v>74800</v>
      </c>
      <c r="J300" s="3">
        <v>56763</v>
      </c>
      <c r="K300" s="3">
        <v>1545</v>
      </c>
      <c r="L300" s="3">
        <v>197</v>
      </c>
      <c r="M300" s="3">
        <v>137</v>
      </c>
      <c r="N300" s="3">
        <v>403</v>
      </c>
      <c r="O300" s="3">
        <v>408</v>
      </c>
      <c r="P300" s="3">
        <v>32436</v>
      </c>
      <c r="Q300" s="3">
        <v>2282</v>
      </c>
      <c r="R300" s="4">
        <v>4.0199999999999996</v>
      </c>
      <c r="S300" s="6">
        <f>GlowNestSocialTable3[[#This Row],[Link Clicks]]/GlowNestSocialTable3[[#This Row],[Reach]]</f>
        <v>7.1877807726864335E-3</v>
      </c>
    </row>
    <row r="301" spans="1:19">
      <c r="A301" t="s">
        <v>336</v>
      </c>
      <c r="B301" s="2">
        <v>45838</v>
      </c>
      <c r="C301" t="s">
        <v>19</v>
      </c>
      <c r="D301" t="s">
        <v>34</v>
      </c>
      <c r="E301" t="s">
        <v>46</v>
      </c>
      <c r="F301" t="s">
        <v>42</v>
      </c>
      <c r="G301" t="s">
        <v>23</v>
      </c>
      <c r="H301" s="3">
        <v>72769</v>
      </c>
      <c r="I301" s="3">
        <v>19094</v>
      </c>
      <c r="J301" s="3">
        <v>16952</v>
      </c>
      <c r="K301" s="3">
        <v>461</v>
      </c>
      <c r="L301" s="3">
        <v>52</v>
      </c>
      <c r="M301" s="3">
        <v>72</v>
      </c>
      <c r="N301" s="3">
        <v>82</v>
      </c>
      <c r="O301" s="3">
        <v>283</v>
      </c>
      <c r="P301" s="3"/>
      <c r="Q301" s="3">
        <v>667</v>
      </c>
      <c r="R301" s="4">
        <v>3.93</v>
      </c>
      <c r="S301" s="6">
        <f>GlowNestSocialTable3[[#This Row],[Link Clicks]]/GlowNestSocialTable3[[#This Row],[Reach]]</f>
        <v>1.6694195375176971E-2</v>
      </c>
    </row>
    <row r="302" spans="1:19">
      <c r="A302" t="s">
        <v>337</v>
      </c>
      <c r="B302" s="2">
        <v>45839</v>
      </c>
      <c r="C302" t="s">
        <v>33</v>
      </c>
      <c r="D302" t="s">
        <v>20</v>
      </c>
      <c r="E302" t="s">
        <v>21</v>
      </c>
      <c r="F302" t="s">
        <v>28</v>
      </c>
      <c r="G302" t="s">
        <v>23</v>
      </c>
      <c r="H302" s="3">
        <v>34070</v>
      </c>
      <c r="I302" s="3">
        <v>17797</v>
      </c>
      <c r="J302" s="3">
        <v>11511</v>
      </c>
      <c r="K302" s="3">
        <v>389</v>
      </c>
      <c r="L302" s="3">
        <v>58</v>
      </c>
      <c r="M302" s="3">
        <v>62</v>
      </c>
      <c r="N302" s="3">
        <v>131</v>
      </c>
      <c r="O302" s="3">
        <v>147</v>
      </c>
      <c r="P302" s="3">
        <v>6714</v>
      </c>
      <c r="Q302" s="3">
        <v>640</v>
      </c>
      <c r="R302" s="4">
        <v>5.56</v>
      </c>
      <c r="S302" s="6">
        <f>GlowNestSocialTable3[[#This Row],[Link Clicks]]/GlowNestSocialTable3[[#This Row],[Reach]]</f>
        <v>1.2770393536617148E-2</v>
      </c>
    </row>
    <row r="303" spans="1:19">
      <c r="A303" t="s">
        <v>338</v>
      </c>
      <c r="B303" s="2">
        <v>45839</v>
      </c>
      <c r="C303" t="s">
        <v>19</v>
      </c>
      <c r="D303" t="s">
        <v>20</v>
      </c>
      <c r="E303" t="s">
        <v>46</v>
      </c>
      <c r="F303" t="s">
        <v>28</v>
      </c>
      <c r="G303" t="s">
        <v>23</v>
      </c>
      <c r="H303" s="3">
        <v>73116</v>
      </c>
      <c r="I303" s="3">
        <v>40989</v>
      </c>
      <c r="J303" s="3">
        <v>34965</v>
      </c>
      <c r="K303" s="3">
        <v>1304</v>
      </c>
      <c r="L303" s="3">
        <v>194</v>
      </c>
      <c r="M303" s="3">
        <v>119</v>
      </c>
      <c r="N303" s="3">
        <v>385</v>
      </c>
      <c r="O303" s="3">
        <v>471</v>
      </c>
      <c r="P303" s="3">
        <v>27297</v>
      </c>
      <c r="Q303" s="3">
        <v>2002</v>
      </c>
      <c r="R303" s="4">
        <v>5.73</v>
      </c>
      <c r="S303" s="6">
        <f>GlowNestSocialTable3[[#This Row],[Link Clicks]]/GlowNestSocialTable3[[#This Row],[Reach]]</f>
        <v>1.3470613470613471E-2</v>
      </c>
    </row>
    <row r="304" spans="1:19">
      <c r="A304" t="s">
        <v>339</v>
      </c>
      <c r="B304" s="2">
        <v>45840</v>
      </c>
      <c r="C304" t="s">
        <v>33</v>
      </c>
      <c r="D304" t="s">
        <v>34</v>
      </c>
      <c r="E304" t="s">
        <v>46</v>
      </c>
      <c r="F304" t="s">
        <v>44</v>
      </c>
      <c r="G304" t="s">
        <v>38</v>
      </c>
      <c r="H304" s="3">
        <v>34308</v>
      </c>
      <c r="I304" s="3">
        <v>13437</v>
      </c>
      <c r="J304" s="3">
        <v>12142</v>
      </c>
      <c r="K304" s="3">
        <v>275</v>
      </c>
      <c r="L304" s="3">
        <v>48</v>
      </c>
      <c r="M304" s="3">
        <v>36</v>
      </c>
      <c r="N304" s="3">
        <v>23</v>
      </c>
      <c r="O304" s="3">
        <v>155</v>
      </c>
      <c r="P304" s="3"/>
      <c r="Q304" s="3">
        <v>382</v>
      </c>
      <c r="R304" s="4">
        <v>3.15</v>
      </c>
      <c r="S304" s="6">
        <f>GlowNestSocialTable3[[#This Row],[Link Clicks]]/GlowNestSocialTable3[[#This Row],[Reach]]</f>
        <v>1.2765606984022402E-2</v>
      </c>
    </row>
    <row r="305" spans="1:19">
      <c r="A305" t="s">
        <v>340</v>
      </c>
      <c r="B305" s="2">
        <v>45840</v>
      </c>
      <c r="C305" t="s">
        <v>36</v>
      </c>
      <c r="D305" t="s">
        <v>34</v>
      </c>
      <c r="E305" t="s">
        <v>27</v>
      </c>
      <c r="F305" t="s">
        <v>42</v>
      </c>
      <c r="G305" t="s">
        <v>23</v>
      </c>
      <c r="H305" s="3">
        <v>88970</v>
      </c>
      <c r="I305" s="3">
        <v>53172</v>
      </c>
      <c r="J305" s="3">
        <v>42977</v>
      </c>
      <c r="K305" s="3">
        <v>755</v>
      </c>
      <c r="L305" s="3">
        <v>121</v>
      </c>
      <c r="M305" s="3">
        <v>71</v>
      </c>
      <c r="N305" s="3">
        <v>52</v>
      </c>
      <c r="O305" s="3">
        <v>245</v>
      </c>
      <c r="P305" s="3"/>
      <c r="Q305" s="3">
        <v>999</v>
      </c>
      <c r="R305" s="4">
        <v>2.3199999999999998</v>
      </c>
      <c r="S305" s="6">
        <f>GlowNestSocialTable3[[#This Row],[Link Clicks]]/GlowNestSocialTable3[[#This Row],[Reach]]</f>
        <v>5.7007236428787489E-3</v>
      </c>
    </row>
    <row r="306" spans="1:19">
      <c r="A306" t="s">
        <v>341</v>
      </c>
      <c r="B306" s="2">
        <v>45841</v>
      </c>
      <c r="C306" t="s">
        <v>36</v>
      </c>
      <c r="D306" t="s">
        <v>34</v>
      </c>
      <c r="E306" t="s">
        <v>21</v>
      </c>
      <c r="F306" t="s">
        <v>28</v>
      </c>
      <c r="G306" t="s">
        <v>38</v>
      </c>
      <c r="H306" s="3">
        <v>85609</v>
      </c>
      <c r="I306" s="3">
        <v>57320</v>
      </c>
      <c r="J306" s="3">
        <v>37162</v>
      </c>
      <c r="K306" s="3">
        <v>347</v>
      </c>
      <c r="L306" s="3">
        <v>44</v>
      </c>
      <c r="M306" s="3">
        <v>47</v>
      </c>
      <c r="N306" s="3">
        <v>72</v>
      </c>
      <c r="O306" s="3">
        <v>242</v>
      </c>
      <c r="P306" s="3"/>
      <c r="Q306" s="3">
        <v>510</v>
      </c>
      <c r="R306" s="4">
        <v>1.37</v>
      </c>
      <c r="S306" s="6">
        <f>GlowNestSocialTable3[[#This Row],[Link Clicks]]/GlowNestSocialTable3[[#This Row],[Reach]]</f>
        <v>6.5120284161239977E-3</v>
      </c>
    </row>
    <row r="307" spans="1:19">
      <c r="A307" t="s">
        <v>342</v>
      </c>
      <c r="B307" s="2">
        <v>45842</v>
      </c>
      <c r="C307" t="s">
        <v>19</v>
      </c>
      <c r="D307" t="s">
        <v>34</v>
      </c>
      <c r="E307" t="s">
        <v>46</v>
      </c>
      <c r="F307" t="s">
        <v>22</v>
      </c>
      <c r="G307" t="s">
        <v>23</v>
      </c>
      <c r="H307" s="3">
        <v>69688</v>
      </c>
      <c r="I307" s="3">
        <v>26703</v>
      </c>
      <c r="J307" s="3">
        <v>17886</v>
      </c>
      <c r="K307" s="3">
        <v>452</v>
      </c>
      <c r="L307" s="3">
        <v>63</v>
      </c>
      <c r="M307" s="3">
        <v>66</v>
      </c>
      <c r="N307" s="3">
        <v>27</v>
      </c>
      <c r="O307" s="3">
        <v>283</v>
      </c>
      <c r="P307" s="3"/>
      <c r="Q307" s="3">
        <v>608</v>
      </c>
      <c r="R307" s="4">
        <v>3.4</v>
      </c>
      <c r="S307" s="6">
        <f>GlowNestSocialTable3[[#This Row],[Link Clicks]]/GlowNestSocialTable3[[#This Row],[Reach]]</f>
        <v>1.5822430951582242E-2</v>
      </c>
    </row>
    <row r="308" spans="1:19">
      <c r="A308" t="s">
        <v>343</v>
      </c>
      <c r="B308" s="2">
        <v>45842</v>
      </c>
      <c r="C308" t="s">
        <v>36</v>
      </c>
      <c r="D308" t="s">
        <v>20</v>
      </c>
      <c r="E308" t="s">
        <v>25</v>
      </c>
      <c r="F308" t="s">
        <v>44</v>
      </c>
      <c r="G308" t="s">
        <v>23</v>
      </c>
      <c r="H308" s="3">
        <v>85750</v>
      </c>
      <c r="I308" s="3">
        <v>55215</v>
      </c>
      <c r="J308" s="3">
        <v>39576</v>
      </c>
      <c r="K308" s="3">
        <v>656</v>
      </c>
      <c r="L308" s="3">
        <v>100</v>
      </c>
      <c r="M308" s="3">
        <v>60</v>
      </c>
      <c r="N308" s="3">
        <v>90</v>
      </c>
      <c r="O308" s="3">
        <v>134</v>
      </c>
      <c r="P308" s="3">
        <v>30683</v>
      </c>
      <c r="Q308" s="3">
        <v>906</v>
      </c>
      <c r="R308" s="4">
        <v>2.29</v>
      </c>
      <c r="S308" s="6">
        <f>GlowNestSocialTable3[[#This Row],[Link Clicks]]/GlowNestSocialTable3[[#This Row],[Reach]]</f>
        <v>3.3858904386496868E-3</v>
      </c>
    </row>
    <row r="309" spans="1:19">
      <c r="A309" t="s">
        <v>344</v>
      </c>
      <c r="B309" s="2">
        <v>45843</v>
      </c>
      <c r="C309" t="s">
        <v>19</v>
      </c>
      <c r="D309" t="s">
        <v>37</v>
      </c>
      <c r="E309" t="s">
        <v>49</v>
      </c>
      <c r="F309" t="s">
        <v>44</v>
      </c>
      <c r="G309" t="s">
        <v>23</v>
      </c>
      <c r="H309" s="3">
        <v>72385</v>
      </c>
      <c r="I309" s="3">
        <v>26799</v>
      </c>
      <c r="J309" s="3">
        <v>23342</v>
      </c>
      <c r="K309" s="3">
        <v>1056</v>
      </c>
      <c r="L309" s="3">
        <v>157</v>
      </c>
      <c r="M309" s="3">
        <v>113</v>
      </c>
      <c r="N309" s="3">
        <v>139</v>
      </c>
      <c r="O309" s="3">
        <v>265</v>
      </c>
      <c r="P309" s="3"/>
      <c r="Q309" s="3">
        <v>1465</v>
      </c>
      <c r="R309" s="4">
        <v>6.28</v>
      </c>
      <c r="S309" s="6">
        <f>GlowNestSocialTable3[[#This Row],[Link Clicks]]/GlowNestSocialTable3[[#This Row],[Reach]]</f>
        <v>1.1352926056036329E-2</v>
      </c>
    </row>
    <row r="310" spans="1:19">
      <c r="A310" t="s">
        <v>345</v>
      </c>
      <c r="B310" s="2">
        <v>45843</v>
      </c>
      <c r="C310" t="s">
        <v>36</v>
      </c>
      <c r="D310" t="s">
        <v>30</v>
      </c>
      <c r="E310" t="s">
        <v>46</v>
      </c>
      <c r="F310" t="s">
        <v>31</v>
      </c>
      <c r="G310" t="s">
        <v>23</v>
      </c>
      <c r="H310" s="3">
        <v>86690</v>
      </c>
      <c r="I310" s="3">
        <v>40654</v>
      </c>
      <c r="J310" s="3">
        <v>29016</v>
      </c>
      <c r="K310" s="3">
        <v>432</v>
      </c>
      <c r="L310" s="3">
        <v>69</v>
      </c>
      <c r="M310" s="3">
        <v>38</v>
      </c>
      <c r="N310" s="3">
        <v>56</v>
      </c>
      <c r="O310" s="3">
        <v>119</v>
      </c>
      <c r="P310" s="3"/>
      <c r="Q310" s="3">
        <v>595</v>
      </c>
      <c r="R310" s="4">
        <v>2.0499999999999998</v>
      </c>
      <c r="S310" s="6">
        <f>GlowNestSocialTable3[[#This Row],[Link Clicks]]/GlowNestSocialTable3[[#This Row],[Reach]]</f>
        <v>4.1011855527984557E-3</v>
      </c>
    </row>
    <row r="311" spans="1:19">
      <c r="A311" t="s">
        <v>346</v>
      </c>
      <c r="B311" s="2">
        <v>45844</v>
      </c>
      <c r="C311" t="s">
        <v>33</v>
      </c>
      <c r="D311" t="s">
        <v>37</v>
      </c>
      <c r="E311" t="s">
        <v>49</v>
      </c>
      <c r="F311" t="s">
        <v>44</v>
      </c>
      <c r="G311" t="s">
        <v>23</v>
      </c>
      <c r="H311" s="3">
        <v>34791</v>
      </c>
      <c r="I311" s="3">
        <v>15582</v>
      </c>
      <c r="J311" s="3">
        <v>10835</v>
      </c>
      <c r="K311" s="3">
        <v>385</v>
      </c>
      <c r="L311" s="3">
        <v>48</v>
      </c>
      <c r="M311" s="3">
        <v>43</v>
      </c>
      <c r="N311" s="3">
        <v>88</v>
      </c>
      <c r="O311" s="3">
        <v>93</v>
      </c>
      <c r="P311" s="3"/>
      <c r="Q311" s="3">
        <v>564</v>
      </c>
      <c r="R311" s="4">
        <v>5.21</v>
      </c>
      <c r="S311" s="6">
        <f>GlowNestSocialTable3[[#This Row],[Link Clicks]]/GlowNestSocialTable3[[#This Row],[Reach]]</f>
        <v>8.5832948777111208E-3</v>
      </c>
    </row>
    <row r="312" spans="1:19">
      <c r="A312" t="s">
        <v>347</v>
      </c>
      <c r="B312" s="2">
        <v>45845</v>
      </c>
      <c r="C312" t="s">
        <v>36</v>
      </c>
      <c r="D312" t="s">
        <v>34</v>
      </c>
      <c r="E312" t="s">
        <v>49</v>
      </c>
      <c r="F312" t="s">
        <v>22</v>
      </c>
      <c r="G312" t="s">
        <v>23</v>
      </c>
      <c r="H312" s="3">
        <v>86538</v>
      </c>
      <c r="I312" s="3">
        <v>58874</v>
      </c>
      <c r="J312" s="3">
        <v>38249</v>
      </c>
      <c r="K312" s="3">
        <v>604</v>
      </c>
      <c r="L312" s="3">
        <v>65</v>
      </c>
      <c r="M312" s="3">
        <v>87</v>
      </c>
      <c r="N312" s="3">
        <v>43</v>
      </c>
      <c r="O312" s="3">
        <v>161</v>
      </c>
      <c r="P312" s="3"/>
      <c r="Q312" s="3">
        <v>799</v>
      </c>
      <c r="R312" s="4">
        <v>2.09</v>
      </c>
      <c r="S312" s="6">
        <f>GlowNestSocialTable3[[#This Row],[Link Clicks]]/GlowNestSocialTable3[[#This Row],[Reach]]</f>
        <v>4.2092603728202047E-3</v>
      </c>
    </row>
    <row r="313" spans="1:19">
      <c r="A313" t="s">
        <v>348</v>
      </c>
      <c r="B313" s="2">
        <v>45845</v>
      </c>
      <c r="C313" t="s">
        <v>33</v>
      </c>
      <c r="D313" t="s">
        <v>20</v>
      </c>
      <c r="E313" t="s">
        <v>27</v>
      </c>
      <c r="F313" t="s">
        <v>31</v>
      </c>
      <c r="G313" t="s">
        <v>23</v>
      </c>
      <c r="H313" s="3">
        <v>31827</v>
      </c>
      <c r="I313" s="3">
        <v>12008</v>
      </c>
      <c r="J313" s="3">
        <v>10758</v>
      </c>
      <c r="K313" s="3">
        <v>440</v>
      </c>
      <c r="L313" s="3">
        <v>64</v>
      </c>
      <c r="M313" s="3">
        <v>69</v>
      </c>
      <c r="N313" s="3">
        <v>236</v>
      </c>
      <c r="O313" s="3">
        <v>166</v>
      </c>
      <c r="P313" s="3">
        <v>7030</v>
      </c>
      <c r="Q313" s="3">
        <v>809</v>
      </c>
      <c r="R313" s="4">
        <v>7.52</v>
      </c>
      <c r="S313" s="6">
        <f>GlowNestSocialTable3[[#This Row],[Link Clicks]]/GlowNestSocialTable3[[#This Row],[Reach]]</f>
        <v>1.5430377393567578E-2</v>
      </c>
    </row>
    <row r="314" spans="1:19">
      <c r="A314" t="s">
        <v>349</v>
      </c>
      <c r="B314" s="2">
        <v>45846</v>
      </c>
      <c r="C314" t="s">
        <v>19</v>
      </c>
      <c r="D314" t="s">
        <v>20</v>
      </c>
      <c r="E314" t="s">
        <v>27</v>
      </c>
      <c r="F314" t="s">
        <v>22</v>
      </c>
      <c r="G314" t="s">
        <v>23</v>
      </c>
      <c r="H314" s="3">
        <v>71794</v>
      </c>
      <c r="I314" s="3">
        <v>31826</v>
      </c>
      <c r="J314" s="3">
        <v>27313</v>
      </c>
      <c r="K314" s="3">
        <v>1402</v>
      </c>
      <c r="L314" s="3">
        <v>151</v>
      </c>
      <c r="M314" s="3">
        <v>186</v>
      </c>
      <c r="N314" s="3">
        <v>452</v>
      </c>
      <c r="O314" s="3">
        <v>264</v>
      </c>
      <c r="P314" s="3">
        <v>20019</v>
      </c>
      <c r="Q314" s="3">
        <v>2191</v>
      </c>
      <c r="R314" s="4">
        <v>8.02</v>
      </c>
      <c r="S314" s="6">
        <f>GlowNestSocialTable3[[#This Row],[Link Clicks]]/GlowNestSocialTable3[[#This Row],[Reach]]</f>
        <v>9.6657269432138537E-3</v>
      </c>
    </row>
    <row r="315" spans="1:19">
      <c r="A315" t="s">
        <v>350</v>
      </c>
      <c r="B315" s="2">
        <v>45846</v>
      </c>
      <c r="C315" t="s">
        <v>36</v>
      </c>
      <c r="D315" t="s">
        <v>20</v>
      </c>
      <c r="E315" t="s">
        <v>27</v>
      </c>
      <c r="F315" t="s">
        <v>42</v>
      </c>
      <c r="G315" t="s">
        <v>38</v>
      </c>
      <c r="H315" s="3">
        <v>86979</v>
      </c>
      <c r="I315" s="3">
        <v>130622</v>
      </c>
      <c r="J315" s="3">
        <v>87435</v>
      </c>
      <c r="K315" s="3">
        <v>1972</v>
      </c>
      <c r="L315" s="3">
        <v>304</v>
      </c>
      <c r="M315" s="3">
        <v>323</v>
      </c>
      <c r="N315" s="3">
        <v>381</v>
      </c>
      <c r="O315" s="3">
        <v>499</v>
      </c>
      <c r="P315" s="3">
        <v>78229</v>
      </c>
      <c r="Q315" s="3">
        <v>2980</v>
      </c>
      <c r="R315" s="4">
        <v>3.41</v>
      </c>
      <c r="S315" s="6">
        <f>GlowNestSocialTable3[[#This Row],[Link Clicks]]/GlowNestSocialTable3[[#This Row],[Reach]]</f>
        <v>5.7070967004060162E-3</v>
      </c>
    </row>
    <row r="316" spans="1:19">
      <c r="A316" t="s">
        <v>351</v>
      </c>
      <c r="B316" s="2">
        <v>45847</v>
      </c>
      <c r="C316" t="s">
        <v>19</v>
      </c>
      <c r="D316" t="s">
        <v>37</v>
      </c>
      <c r="E316" t="s">
        <v>49</v>
      </c>
      <c r="F316" t="s">
        <v>42</v>
      </c>
      <c r="G316" t="s">
        <v>23</v>
      </c>
      <c r="H316" s="3">
        <v>71432</v>
      </c>
      <c r="I316" s="3">
        <v>29961</v>
      </c>
      <c r="J316" s="3">
        <v>25951</v>
      </c>
      <c r="K316" s="3">
        <v>926</v>
      </c>
      <c r="L316" s="3">
        <v>107</v>
      </c>
      <c r="M316" s="3">
        <v>112</v>
      </c>
      <c r="N316" s="3">
        <v>257</v>
      </c>
      <c r="O316" s="3">
        <v>296</v>
      </c>
      <c r="P316" s="3"/>
      <c r="Q316" s="3">
        <v>1402</v>
      </c>
      <c r="R316" s="4">
        <v>5.4</v>
      </c>
      <c r="S316" s="6">
        <f>GlowNestSocialTable3[[#This Row],[Link Clicks]]/GlowNestSocialTable3[[#This Row],[Reach]]</f>
        <v>1.1406111517860583E-2</v>
      </c>
    </row>
    <row r="317" spans="1:19">
      <c r="A317" t="s">
        <v>352</v>
      </c>
      <c r="B317" s="2">
        <v>45848</v>
      </c>
      <c r="C317" t="s">
        <v>19</v>
      </c>
      <c r="D317" t="s">
        <v>20</v>
      </c>
      <c r="E317" t="s">
        <v>21</v>
      </c>
      <c r="F317" t="s">
        <v>44</v>
      </c>
      <c r="G317" t="s">
        <v>23</v>
      </c>
      <c r="H317" s="3">
        <v>71555</v>
      </c>
      <c r="I317" s="3">
        <v>42921</v>
      </c>
      <c r="J317" s="3">
        <v>36495</v>
      </c>
      <c r="K317" s="3">
        <v>2065</v>
      </c>
      <c r="L317" s="3">
        <v>211</v>
      </c>
      <c r="M317" s="3">
        <v>242</v>
      </c>
      <c r="N317" s="3">
        <v>572</v>
      </c>
      <c r="O317" s="3">
        <v>375</v>
      </c>
      <c r="P317" s="3">
        <v>21358</v>
      </c>
      <c r="Q317" s="3">
        <v>3090</v>
      </c>
      <c r="R317" s="4">
        <v>8.4700000000000006</v>
      </c>
      <c r="S317" s="6">
        <f>GlowNestSocialTable3[[#This Row],[Link Clicks]]/GlowNestSocialTable3[[#This Row],[Reach]]</f>
        <v>1.0275380189066995E-2</v>
      </c>
    </row>
    <row r="318" spans="1:19">
      <c r="A318" t="s">
        <v>353</v>
      </c>
      <c r="B318" s="2">
        <v>45848</v>
      </c>
      <c r="C318" t="s">
        <v>33</v>
      </c>
      <c r="D318" t="s">
        <v>37</v>
      </c>
      <c r="E318" t="s">
        <v>27</v>
      </c>
      <c r="F318" t="s">
        <v>44</v>
      </c>
      <c r="G318" t="s">
        <v>38</v>
      </c>
      <c r="H318" s="3">
        <v>35252</v>
      </c>
      <c r="I318" s="3">
        <v>14729</v>
      </c>
      <c r="J318" s="3">
        <v>12127</v>
      </c>
      <c r="K318" s="3">
        <v>359</v>
      </c>
      <c r="L318" s="3">
        <v>67</v>
      </c>
      <c r="M318" s="3">
        <v>55</v>
      </c>
      <c r="N318" s="3">
        <v>103</v>
      </c>
      <c r="O318" s="3">
        <v>182</v>
      </c>
      <c r="P318" s="3"/>
      <c r="Q318" s="3">
        <v>584</v>
      </c>
      <c r="R318" s="4">
        <v>4.82</v>
      </c>
      <c r="S318" s="6">
        <f>GlowNestSocialTable3[[#This Row],[Link Clicks]]/GlowNestSocialTable3[[#This Row],[Reach]]</f>
        <v>1.5007833759379896E-2</v>
      </c>
    </row>
    <row r="319" spans="1:19">
      <c r="A319" t="s">
        <v>354</v>
      </c>
      <c r="B319" s="2">
        <v>45849</v>
      </c>
      <c r="C319" t="s">
        <v>36</v>
      </c>
      <c r="D319" t="s">
        <v>34</v>
      </c>
      <c r="E319" t="s">
        <v>27</v>
      </c>
      <c r="F319" t="s">
        <v>42</v>
      </c>
      <c r="G319" t="s">
        <v>23</v>
      </c>
      <c r="H319" s="3">
        <v>87314</v>
      </c>
      <c r="I319" s="3">
        <v>40677</v>
      </c>
      <c r="J319" s="3">
        <v>31008</v>
      </c>
      <c r="K319" s="3">
        <v>428</v>
      </c>
      <c r="L319" s="3">
        <v>65</v>
      </c>
      <c r="M319" s="3">
        <v>76</v>
      </c>
      <c r="N319" s="3">
        <v>100</v>
      </c>
      <c r="O319" s="3">
        <v>253</v>
      </c>
      <c r="P319" s="3"/>
      <c r="Q319" s="3">
        <v>669</v>
      </c>
      <c r="R319" s="4">
        <v>2.16</v>
      </c>
      <c r="S319" s="6">
        <f>GlowNestSocialTable3[[#This Row],[Link Clicks]]/GlowNestSocialTable3[[#This Row],[Reach]]</f>
        <v>8.1591847265221878E-3</v>
      </c>
    </row>
    <row r="320" spans="1:19">
      <c r="A320" t="s">
        <v>355</v>
      </c>
      <c r="B320" s="2">
        <v>45850</v>
      </c>
      <c r="C320" t="s">
        <v>19</v>
      </c>
      <c r="D320" t="s">
        <v>37</v>
      </c>
      <c r="E320" t="s">
        <v>27</v>
      </c>
      <c r="F320" t="s">
        <v>22</v>
      </c>
      <c r="G320" t="s">
        <v>38</v>
      </c>
      <c r="H320" s="3">
        <v>71548</v>
      </c>
      <c r="I320" s="3">
        <v>41889</v>
      </c>
      <c r="J320" s="3">
        <v>36429</v>
      </c>
      <c r="K320" s="3">
        <v>2126</v>
      </c>
      <c r="L320" s="3">
        <v>324</v>
      </c>
      <c r="M320" s="3">
        <v>190</v>
      </c>
      <c r="N320" s="3">
        <v>303</v>
      </c>
      <c r="O320" s="3">
        <v>478</v>
      </c>
      <c r="P320" s="3"/>
      <c r="Q320" s="3">
        <v>2943</v>
      </c>
      <c r="R320" s="4">
        <v>8.08</v>
      </c>
      <c r="S320" s="6">
        <f>GlowNestSocialTable3[[#This Row],[Link Clicks]]/GlowNestSocialTable3[[#This Row],[Reach]]</f>
        <v>1.3121414257871476E-2</v>
      </c>
    </row>
    <row r="321" spans="1:19">
      <c r="A321" t="s">
        <v>356</v>
      </c>
      <c r="B321" s="2">
        <v>45850</v>
      </c>
      <c r="C321" t="s">
        <v>19</v>
      </c>
      <c r="D321" t="s">
        <v>20</v>
      </c>
      <c r="E321" t="s">
        <v>25</v>
      </c>
      <c r="F321" t="s">
        <v>42</v>
      </c>
      <c r="G321" t="s">
        <v>23</v>
      </c>
      <c r="H321" s="3">
        <v>71330</v>
      </c>
      <c r="I321" s="3">
        <v>46790</v>
      </c>
      <c r="J321" s="3">
        <v>34241</v>
      </c>
      <c r="K321" s="3">
        <v>1482</v>
      </c>
      <c r="L321" s="3">
        <v>144</v>
      </c>
      <c r="M321" s="3">
        <v>133</v>
      </c>
      <c r="N321" s="3">
        <v>185</v>
      </c>
      <c r="O321" s="3">
        <v>233</v>
      </c>
      <c r="P321" s="3">
        <v>24414</v>
      </c>
      <c r="Q321" s="3">
        <v>1944</v>
      </c>
      <c r="R321" s="4">
        <v>5.68</v>
      </c>
      <c r="S321" s="6">
        <f>GlowNestSocialTable3[[#This Row],[Link Clicks]]/GlowNestSocialTable3[[#This Row],[Reach]]</f>
        <v>6.8047078064308866E-3</v>
      </c>
    </row>
    <row r="322" spans="1:19">
      <c r="A322" t="s">
        <v>357</v>
      </c>
      <c r="B322" s="2">
        <v>45851</v>
      </c>
      <c r="C322" t="s">
        <v>36</v>
      </c>
      <c r="D322" t="s">
        <v>30</v>
      </c>
      <c r="E322" t="s">
        <v>27</v>
      </c>
      <c r="F322" t="s">
        <v>42</v>
      </c>
      <c r="G322" t="s">
        <v>23</v>
      </c>
      <c r="H322" s="3">
        <v>86635</v>
      </c>
      <c r="I322" s="3">
        <v>39325</v>
      </c>
      <c r="J322" s="3">
        <v>35766</v>
      </c>
      <c r="K322" s="3">
        <v>561</v>
      </c>
      <c r="L322" s="3">
        <v>94</v>
      </c>
      <c r="M322" s="3">
        <v>54</v>
      </c>
      <c r="N322" s="3">
        <v>198</v>
      </c>
      <c r="O322" s="3">
        <v>140</v>
      </c>
      <c r="P322" s="3"/>
      <c r="Q322" s="3">
        <v>907</v>
      </c>
      <c r="R322" s="4">
        <v>2.54</v>
      </c>
      <c r="S322" s="6">
        <f>GlowNestSocialTable3[[#This Row],[Link Clicks]]/GlowNestSocialTable3[[#This Row],[Reach]]</f>
        <v>3.914332047195661E-3</v>
      </c>
    </row>
    <row r="323" spans="1:19">
      <c r="A323" t="s">
        <v>358</v>
      </c>
      <c r="B323" s="2">
        <v>45851</v>
      </c>
      <c r="C323" t="s">
        <v>19</v>
      </c>
      <c r="D323" t="s">
        <v>30</v>
      </c>
      <c r="E323" t="s">
        <v>49</v>
      </c>
      <c r="F323" t="s">
        <v>22</v>
      </c>
      <c r="G323" t="s">
        <v>23</v>
      </c>
      <c r="H323" s="3">
        <v>73306</v>
      </c>
      <c r="I323" s="3">
        <v>23379</v>
      </c>
      <c r="J323" s="3">
        <v>18869</v>
      </c>
      <c r="K323" s="3">
        <v>744</v>
      </c>
      <c r="L323" s="3">
        <v>99</v>
      </c>
      <c r="M323" s="3">
        <v>125</v>
      </c>
      <c r="N323" s="3">
        <v>97</v>
      </c>
      <c r="O323" s="3">
        <v>121</v>
      </c>
      <c r="P323" s="3"/>
      <c r="Q323" s="3">
        <v>1065</v>
      </c>
      <c r="R323" s="4">
        <v>5.64</v>
      </c>
      <c r="S323" s="6">
        <f>GlowNestSocialTable3[[#This Row],[Link Clicks]]/GlowNestSocialTable3[[#This Row],[Reach]]</f>
        <v>6.4126344798346498E-3</v>
      </c>
    </row>
    <row r="324" spans="1:19">
      <c r="A324" t="s">
        <v>359</v>
      </c>
      <c r="B324" s="2">
        <v>45852</v>
      </c>
      <c r="C324" t="s">
        <v>19</v>
      </c>
      <c r="D324" t="s">
        <v>37</v>
      </c>
      <c r="E324" t="s">
        <v>27</v>
      </c>
      <c r="F324" t="s">
        <v>22</v>
      </c>
      <c r="G324" t="s">
        <v>23</v>
      </c>
      <c r="H324" s="3">
        <v>69832</v>
      </c>
      <c r="I324" s="3">
        <v>35864</v>
      </c>
      <c r="J324" s="3">
        <v>23455</v>
      </c>
      <c r="K324" s="3">
        <v>939</v>
      </c>
      <c r="L324" s="3">
        <v>127</v>
      </c>
      <c r="M324" s="3">
        <v>124</v>
      </c>
      <c r="N324" s="3">
        <v>306</v>
      </c>
      <c r="O324" s="3">
        <v>347</v>
      </c>
      <c r="P324" s="3"/>
      <c r="Q324" s="3">
        <v>1496</v>
      </c>
      <c r="R324" s="4">
        <v>6.38</v>
      </c>
      <c r="S324" s="6">
        <f>GlowNestSocialTable3[[#This Row],[Link Clicks]]/GlowNestSocialTable3[[#This Row],[Reach]]</f>
        <v>1.4794286932423789E-2</v>
      </c>
    </row>
    <row r="325" spans="1:19">
      <c r="A325" t="s">
        <v>360</v>
      </c>
      <c r="B325" s="2">
        <v>45853</v>
      </c>
      <c r="C325" t="s">
        <v>19</v>
      </c>
      <c r="D325" t="s">
        <v>37</v>
      </c>
      <c r="E325" t="s">
        <v>27</v>
      </c>
      <c r="F325" t="s">
        <v>22</v>
      </c>
      <c r="G325" t="s">
        <v>23</v>
      </c>
      <c r="H325" s="3">
        <v>72394</v>
      </c>
      <c r="I325" s="3">
        <v>31709</v>
      </c>
      <c r="J325" s="3">
        <v>25325</v>
      </c>
      <c r="K325" s="3">
        <v>1016</v>
      </c>
      <c r="L325" s="3">
        <v>160</v>
      </c>
      <c r="M325" s="3">
        <v>177</v>
      </c>
      <c r="N325" s="3">
        <v>233</v>
      </c>
      <c r="O325" s="3">
        <v>258</v>
      </c>
      <c r="P325" s="3"/>
      <c r="Q325" s="3">
        <v>1586</v>
      </c>
      <c r="R325" s="4">
        <v>6.26</v>
      </c>
      <c r="S325" s="6">
        <f>GlowNestSocialTable3[[#This Row],[Link Clicks]]/GlowNestSocialTable3[[#This Row],[Reach]]</f>
        <v>1.018756169792695E-2</v>
      </c>
    </row>
    <row r="326" spans="1:19">
      <c r="A326" t="s">
        <v>361</v>
      </c>
      <c r="B326" s="2">
        <v>45853</v>
      </c>
      <c r="C326" t="s">
        <v>36</v>
      </c>
      <c r="D326" t="s">
        <v>37</v>
      </c>
      <c r="E326" t="s">
        <v>49</v>
      </c>
      <c r="F326" t="s">
        <v>22</v>
      </c>
      <c r="G326" t="s">
        <v>235</v>
      </c>
      <c r="H326" s="3">
        <v>87281</v>
      </c>
      <c r="I326" s="3">
        <v>44769</v>
      </c>
      <c r="J326" s="3">
        <v>30286</v>
      </c>
      <c r="K326" s="3">
        <v>559</v>
      </c>
      <c r="L326" s="3">
        <v>80</v>
      </c>
      <c r="M326" s="3">
        <v>84</v>
      </c>
      <c r="N326" s="3">
        <v>168</v>
      </c>
      <c r="O326" s="3">
        <v>131</v>
      </c>
      <c r="P326" s="3"/>
      <c r="Q326" s="3">
        <v>891</v>
      </c>
      <c r="R326" s="4">
        <v>2.94</v>
      </c>
      <c r="S326" s="6">
        <f>GlowNestSocialTable3[[#This Row],[Link Clicks]]/GlowNestSocialTable3[[#This Row],[Reach]]</f>
        <v>4.325430892161395E-3</v>
      </c>
    </row>
    <row r="327" spans="1:19">
      <c r="A327" t="s">
        <v>362</v>
      </c>
      <c r="B327" s="2">
        <v>45854</v>
      </c>
      <c r="C327" t="s">
        <v>33</v>
      </c>
      <c r="D327" t="s">
        <v>34</v>
      </c>
      <c r="E327" t="s">
        <v>49</v>
      </c>
      <c r="F327" t="s">
        <v>44</v>
      </c>
      <c r="G327" t="s">
        <v>23</v>
      </c>
      <c r="H327" s="3">
        <v>32620</v>
      </c>
      <c r="I327" s="3">
        <v>10136</v>
      </c>
      <c r="J327" s="3">
        <v>7336</v>
      </c>
      <c r="K327" s="3">
        <v>187</v>
      </c>
      <c r="L327" s="3">
        <v>28</v>
      </c>
      <c r="M327" s="3">
        <v>17</v>
      </c>
      <c r="N327" s="3">
        <v>19</v>
      </c>
      <c r="O327" s="3">
        <v>96</v>
      </c>
      <c r="P327" s="3"/>
      <c r="Q327" s="3">
        <v>251</v>
      </c>
      <c r="R327" s="4">
        <v>3.42</v>
      </c>
      <c r="S327" s="6">
        <f>GlowNestSocialTable3[[#This Row],[Link Clicks]]/GlowNestSocialTable3[[#This Row],[Reach]]</f>
        <v>1.3086150490730643E-2</v>
      </c>
    </row>
    <row r="328" spans="1:19">
      <c r="A328" t="s">
        <v>363</v>
      </c>
      <c r="B328" s="2">
        <v>45854</v>
      </c>
      <c r="C328" t="s">
        <v>19</v>
      </c>
      <c r="D328" t="s">
        <v>20</v>
      </c>
      <c r="E328" t="s">
        <v>49</v>
      </c>
      <c r="F328" t="s">
        <v>42</v>
      </c>
      <c r="G328" t="s">
        <v>23</v>
      </c>
      <c r="H328" s="3">
        <v>74042</v>
      </c>
      <c r="I328" s="3">
        <v>42568</v>
      </c>
      <c r="J328" s="3">
        <v>29484</v>
      </c>
      <c r="K328" s="3">
        <v>1234</v>
      </c>
      <c r="L328" s="3">
        <v>186</v>
      </c>
      <c r="M328" s="3">
        <v>159</v>
      </c>
      <c r="N328" s="3">
        <v>476</v>
      </c>
      <c r="O328" s="3">
        <v>197</v>
      </c>
      <c r="P328" s="3">
        <v>17512</v>
      </c>
      <c r="Q328" s="3">
        <v>2055</v>
      </c>
      <c r="R328" s="4">
        <v>6.97</v>
      </c>
      <c r="S328" s="6">
        <f>GlowNestSocialTable3[[#This Row],[Link Clicks]]/GlowNestSocialTable3[[#This Row],[Reach]]</f>
        <v>6.6815900149233484E-3</v>
      </c>
    </row>
    <row r="329" spans="1:19">
      <c r="A329" t="s">
        <v>364</v>
      </c>
      <c r="B329" s="2">
        <v>45855</v>
      </c>
      <c r="C329" t="s">
        <v>33</v>
      </c>
      <c r="D329" t="s">
        <v>37</v>
      </c>
      <c r="E329" t="s">
        <v>25</v>
      </c>
      <c r="F329" t="s">
        <v>28</v>
      </c>
      <c r="G329" t="s">
        <v>23</v>
      </c>
      <c r="H329" s="3">
        <v>33174</v>
      </c>
      <c r="I329" s="3">
        <v>9372</v>
      </c>
      <c r="J329" s="3">
        <v>6798</v>
      </c>
      <c r="K329" s="3">
        <v>145</v>
      </c>
      <c r="L329" s="3">
        <v>18</v>
      </c>
      <c r="M329" s="3">
        <v>15</v>
      </c>
      <c r="N329" s="3">
        <v>29</v>
      </c>
      <c r="O329" s="3">
        <v>83</v>
      </c>
      <c r="P329" s="3"/>
      <c r="Q329" s="3">
        <v>207</v>
      </c>
      <c r="R329" s="4">
        <v>3.05</v>
      </c>
      <c r="S329" s="6">
        <f>GlowNestSocialTable3[[#This Row],[Link Clicks]]/GlowNestSocialTable3[[#This Row],[Reach]]</f>
        <v>1.2209473374521919E-2</v>
      </c>
    </row>
    <row r="330" spans="1:19">
      <c r="A330" t="s">
        <v>365</v>
      </c>
      <c r="B330" s="2">
        <v>45856</v>
      </c>
      <c r="C330" t="s">
        <v>36</v>
      </c>
      <c r="D330" t="s">
        <v>37</v>
      </c>
      <c r="E330" t="s">
        <v>27</v>
      </c>
      <c r="F330" t="s">
        <v>31</v>
      </c>
      <c r="G330" t="s">
        <v>23</v>
      </c>
      <c r="H330" s="3">
        <v>87212</v>
      </c>
      <c r="I330" s="3">
        <v>71923</v>
      </c>
      <c r="J330" s="3">
        <v>50438</v>
      </c>
      <c r="K330" s="3">
        <v>1003</v>
      </c>
      <c r="L330" s="3">
        <v>144</v>
      </c>
      <c r="M330" s="3">
        <v>167</v>
      </c>
      <c r="N330" s="3">
        <v>279</v>
      </c>
      <c r="O330" s="3">
        <v>279</v>
      </c>
      <c r="P330" s="3"/>
      <c r="Q330" s="3">
        <v>1593</v>
      </c>
      <c r="R330" s="4">
        <v>3.16</v>
      </c>
      <c r="S330" s="6">
        <f>GlowNestSocialTable3[[#This Row],[Link Clicks]]/GlowNestSocialTable3[[#This Row],[Reach]]</f>
        <v>5.5315436773860976E-3</v>
      </c>
    </row>
    <row r="331" spans="1:19">
      <c r="A331" t="s">
        <v>366</v>
      </c>
      <c r="B331" s="2">
        <v>45856</v>
      </c>
      <c r="C331" t="s">
        <v>36</v>
      </c>
      <c r="D331" t="s">
        <v>37</v>
      </c>
      <c r="E331" t="s">
        <v>25</v>
      </c>
      <c r="F331" t="s">
        <v>28</v>
      </c>
      <c r="G331" t="s">
        <v>23</v>
      </c>
      <c r="H331" s="3">
        <v>86594</v>
      </c>
      <c r="I331" s="3">
        <v>55506</v>
      </c>
      <c r="J331" s="3">
        <v>36696</v>
      </c>
      <c r="K331" s="3">
        <v>491</v>
      </c>
      <c r="L331" s="3">
        <v>81</v>
      </c>
      <c r="M331" s="3">
        <v>48</v>
      </c>
      <c r="N331" s="3">
        <v>42</v>
      </c>
      <c r="O331" s="3">
        <v>155</v>
      </c>
      <c r="P331" s="3"/>
      <c r="Q331" s="3">
        <v>662</v>
      </c>
      <c r="R331" s="4">
        <v>1.8</v>
      </c>
      <c r="S331" s="6">
        <f>GlowNestSocialTable3[[#This Row],[Link Clicks]]/GlowNestSocialTable3[[#This Row],[Reach]]</f>
        <v>4.2238936123828209E-3</v>
      </c>
    </row>
    <row r="332" spans="1:19">
      <c r="A332" t="s">
        <v>367</v>
      </c>
      <c r="B332" s="2">
        <v>45857</v>
      </c>
      <c r="C332" t="s">
        <v>19</v>
      </c>
      <c r="D332" t="s">
        <v>20</v>
      </c>
      <c r="E332" t="s">
        <v>25</v>
      </c>
      <c r="F332" t="s">
        <v>44</v>
      </c>
      <c r="G332" t="s">
        <v>38</v>
      </c>
      <c r="H332" s="3">
        <v>73258</v>
      </c>
      <c r="I332" s="3">
        <v>83784</v>
      </c>
      <c r="J332" s="3">
        <v>54997</v>
      </c>
      <c r="K332" s="3">
        <v>1625</v>
      </c>
      <c r="L332" s="3">
        <v>276</v>
      </c>
      <c r="M332" s="3">
        <v>183</v>
      </c>
      <c r="N332" s="3">
        <v>218</v>
      </c>
      <c r="O332" s="3">
        <v>524</v>
      </c>
      <c r="P332" s="3">
        <v>43989</v>
      </c>
      <c r="Q332" s="3">
        <v>2302</v>
      </c>
      <c r="R332" s="4">
        <v>4.1900000000000004</v>
      </c>
      <c r="S332" s="6">
        <f>GlowNestSocialTable3[[#This Row],[Link Clicks]]/GlowNestSocialTable3[[#This Row],[Reach]]</f>
        <v>9.5277924250413652E-3</v>
      </c>
    </row>
    <row r="333" spans="1:19">
      <c r="A333" t="s">
        <v>368</v>
      </c>
      <c r="B333" s="2">
        <v>45857</v>
      </c>
      <c r="C333" t="s">
        <v>33</v>
      </c>
      <c r="D333" t="s">
        <v>34</v>
      </c>
      <c r="E333" t="s">
        <v>27</v>
      </c>
      <c r="F333" t="s">
        <v>28</v>
      </c>
      <c r="G333" t="s">
        <v>23</v>
      </c>
      <c r="H333" s="3">
        <v>35406</v>
      </c>
      <c r="I333" s="3">
        <v>13542</v>
      </c>
      <c r="J333" s="3">
        <v>8885</v>
      </c>
      <c r="K333" s="3">
        <v>210</v>
      </c>
      <c r="L333" s="3">
        <v>29</v>
      </c>
      <c r="M333" s="3">
        <v>38</v>
      </c>
      <c r="N333" s="3">
        <v>42</v>
      </c>
      <c r="O333" s="3">
        <v>194</v>
      </c>
      <c r="P333" s="3"/>
      <c r="Q333" s="3">
        <v>319</v>
      </c>
      <c r="R333" s="4">
        <v>3.59</v>
      </c>
      <c r="S333" s="6">
        <f>GlowNestSocialTable3[[#This Row],[Link Clicks]]/GlowNestSocialTable3[[#This Row],[Reach]]</f>
        <v>2.1834552616769837E-2</v>
      </c>
    </row>
    <row r="334" spans="1:19">
      <c r="A334" t="s">
        <v>369</v>
      </c>
      <c r="B334" s="2">
        <v>45858</v>
      </c>
      <c r="C334" t="s">
        <v>36</v>
      </c>
      <c r="D334" t="s">
        <v>34</v>
      </c>
      <c r="E334" t="s">
        <v>46</v>
      </c>
      <c r="F334" t="s">
        <v>22</v>
      </c>
      <c r="G334" t="s">
        <v>23</v>
      </c>
      <c r="H334" s="3">
        <v>88479</v>
      </c>
      <c r="I334" s="3">
        <v>35895</v>
      </c>
      <c r="J334" s="3">
        <v>32871</v>
      </c>
      <c r="K334" s="3">
        <v>453</v>
      </c>
      <c r="L334" s="3">
        <v>59</v>
      </c>
      <c r="M334" s="3">
        <v>60</v>
      </c>
      <c r="N334" s="3">
        <v>53</v>
      </c>
      <c r="O334" s="3">
        <v>153</v>
      </c>
      <c r="P334" s="3"/>
      <c r="Q334" s="3">
        <v>625</v>
      </c>
      <c r="R334" s="4">
        <v>1.9</v>
      </c>
      <c r="S334" s="6">
        <f>GlowNestSocialTable3[[#This Row],[Link Clicks]]/GlowNestSocialTable3[[#This Row],[Reach]]</f>
        <v>4.6545587295792647E-3</v>
      </c>
    </row>
    <row r="335" spans="1:19">
      <c r="A335" t="s">
        <v>370</v>
      </c>
      <c r="B335" s="2">
        <v>45859</v>
      </c>
      <c r="C335" t="s">
        <v>36</v>
      </c>
      <c r="D335" t="s">
        <v>20</v>
      </c>
      <c r="E335" t="s">
        <v>21</v>
      </c>
      <c r="F335" t="s">
        <v>31</v>
      </c>
      <c r="G335" t="s">
        <v>23</v>
      </c>
      <c r="H335" s="3">
        <v>87143</v>
      </c>
      <c r="I335" s="3">
        <v>66597</v>
      </c>
      <c r="J335" s="3">
        <v>53052</v>
      </c>
      <c r="K335" s="3">
        <v>1175</v>
      </c>
      <c r="L335" s="3">
        <v>185</v>
      </c>
      <c r="M335" s="3">
        <v>189</v>
      </c>
      <c r="N335" s="3">
        <v>410</v>
      </c>
      <c r="O335" s="3">
        <v>257</v>
      </c>
      <c r="P335" s="3">
        <v>42754</v>
      </c>
      <c r="Q335" s="3">
        <v>1959</v>
      </c>
      <c r="R335" s="4">
        <v>3.69</v>
      </c>
      <c r="S335" s="6">
        <f>GlowNestSocialTable3[[#This Row],[Link Clicks]]/GlowNestSocialTable3[[#This Row],[Reach]]</f>
        <v>4.8443037020281989E-3</v>
      </c>
    </row>
    <row r="336" spans="1:19">
      <c r="A336" t="s">
        <v>371</v>
      </c>
      <c r="B336" s="2">
        <v>45859</v>
      </c>
      <c r="C336" t="s">
        <v>36</v>
      </c>
      <c r="D336" t="s">
        <v>30</v>
      </c>
      <c r="E336" t="s">
        <v>21</v>
      </c>
      <c r="F336" t="s">
        <v>28</v>
      </c>
      <c r="G336" t="s">
        <v>38</v>
      </c>
      <c r="H336" s="3">
        <v>88236</v>
      </c>
      <c r="I336" s="3">
        <v>94408</v>
      </c>
      <c r="J336" s="3">
        <v>61107</v>
      </c>
      <c r="K336" s="3">
        <v>656</v>
      </c>
      <c r="L336" s="3">
        <v>72</v>
      </c>
      <c r="M336" s="3">
        <v>63</v>
      </c>
      <c r="N336" s="3">
        <v>109</v>
      </c>
      <c r="O336" s="3">
        <v>326</v>
      </c>
      <c r="P336" s="3"/>
      <c r="Q336" s="3">
        <v>900</v>
      </c>
      <c r="R336" s="4">
        <v>1.47</v>
      </c>
      <c r="S336" s="6">
        <f>GlowNestSocialTable3[[#This Row],[Link Clicks]]/GlowNestSocialTable3[[#This Row],[Reach]]</f>
        <v>5.334904348110691E-3</v>
      </c>
    </row>
    <row r="337" spans="1:19">
      <c r="A337" t="s">
        <v>372</v>
      </c>
      <c r="B337" s="2">
        <v>45860</v>
      </c>
      <c r="C337" t="s">
        <v>33</v>
      </c>
      <c r="D337" t="s">
        <v>37</v>
      </c>
      <c r="E337" t="s">
        <v>46</v>
      </c>
      <c r="G337" t="s">
        <v>23</v>
      </c>
      <c r="H337" s="3">
        <v>35337</v>
      </c>
      <c r="I337" s="3">
        <v>9190</v>
      </c>
      <c r="J337" s="3">
        <v>7660</v>
      </c>
      <c r="K337" s="3">
        <v>255</v>
      </c>
      <c r="L337" s="3">
        <v>32</v>
      </c>
      <c r="M337" s="3">
        <v>43</v>
      </c>
      <c r="N337" s="3">
        <v>70</v>
      </c>
      <c r="O337" s="3">
        <v>89</v>
      </c>
      <c r="P337" s="3"/>
      <c r="Q337" s="3">
        <v>400</v>
      </c>
      <c r="R337" s="4">
        <v>5.22</v>
      </c>
      <c r="S337" s="6">
        <f>GlowNestSocialTable3[[#This Row],[Link Clicks]]/GlowNestSocialTable3[[#This Row],[Reach]]</f>
        <v>1.1618798955613577E-2</v>
      </c>
    </row>
    <row r="338" spans="1:19">
      <c r="A338" t="s">
        <v>373</v>
      </c>
      <c r="B338" s="2">
        <v>45860</v>
      </c>
      <c r="C338" t="s">
        <v>36</v>
      </c>
      <c r="D338" t="s">
        <v>30</v>
      </c>
      <c r="E338" t="s">
        <v>25</v>
      </c>
      <c r="F338" t="s">
        <v>22</v>
      </c>
      <c r="G338" t="s">
        <v>23</v>
      </c>
      <c r="H338" s="3">
        <v>87961</v>
      </c>
      <c r="I338" s="3">
        <v>48551</v>
      </c>
      <c r="J338" s="3">
        <v>33672</v>
      </c>
      <c r="K338" s="3">
        <v>344</v>
      </c>
      <c r="L338" s="3">
        <v>57</v>
      </c>
      <c r="M338" s="3">
        <v>40</v>
      </c>
      <c r="N338" s="3">
        <v>7</v>
      </c>
      <c r="O338" s="3">
        <v>142</v>
      </c>
      <c r="P338" s="3"/>
      <c r="Q338" s="3">
        <v>448</v>
      </c>
      <c r="R338" s="4">
        <v>1.33</v>
      </c>
      <c r="S338" s="6">
        <f>GlowNestSocialTable3[[#This Row],[Link Clicks]]/GlowNestSocialTable3[[#This Row],[Reach]]</f>
        <v>4.2171537182228557E-3</v>
      </c>
    </row>
    <row r="339" spans="1:19">
      <c r="A339" t="s">
        <v>374</v>
      </c>
      <c r="B339" s="2">
        <v>45861</v>
      </c>
      <c r="C339" t="s">
        <v>33</v>
      </c>
      <c r="D339" t="s">
        <v>30</v>
      </c>
      <c r="E339" t="s">
        <v>27</v>
      </c>
      <c r="F339" t="s">
        <v>31</v>
      </c>
      <c r="G339" t="s">
        <v>23</v>
      </c>
      <c r="H339" s="3">
        <v>31570</v>
      </c>
      <c r="I339" s="3">
        <v>7855</v>
      </c>
      <c r="J339" s="3">
        <v>7181</v>
      </c>
      <c r="K339" s="3">
        <v>194</v>
      </c>
      <c r="L339" s="3">
        <v>34</v>
      </c>
      <c r="M339" s="3">
        <v>18</v>
      </c>
      <c r="N339" s="3">
        <v>32</v>
      </c>
      <c r="O339" s="3">
        <v>87</v>
      </c>
      <c r="P339" s="3"/>
      <c r="Q339" s="3">
        <v>278</v>
      </c>
      <c r="R339" s="4">
        <v>3.87</v>
      </c>
      <c r="S339" s="6">
        <f>GlowNestSocialTable3[[#This Row],[Link Clicks]]/GlowNestSocialTable3[[#This Row],[Reach]]</f>
        <v>1.211530427517059E-2</v>
      </c>
    </row>
    <row r="340" spans="1:19">
      <c r="A340" t="s">
        <v>375</v>
      </c>
      <c r="B340" s="2">
        <v>45862</v>
      </c>
      <c r="C340" t="s">
        <v>19</v>
      </c>
      <c r="D340" t="s">
        <v>30</v>
      </c>
      <c r="E340" t="s">
        <v>25</v>
      </c>
      <c r="F340" t="s">
        <v>31</v>
      </c>
      <c r="G340" t="s">
        <v>23</v>
      </c>
      <c r="H340" s="3">
        <v>72530</v>
      </c>
      <c r="I340" s="3">
        <v>26985</v>
      </c>
      <c r="J340" s="3">
        <v>20539</v>
      </c>
      <c r="K340" s="3">
        <v>354</v>
      </c>
      <c r="L340" s="3">
        <v>61</v>
      </c>
      <c r="M340" s="3">
        <v>41</v>
      </c>
      <c r="N340" s="3">
        <v>35</v>
      </c>
      <c r="O340" s="3">
        <v>128</v>
      </c>
      <c r="P340" s="3"/>
      <c r="Q340" s="3">
        <v>491</v>
      </c>
      <c r="R340" s="4">
        <v>2.39</v>
      </c>
      <c r="S340" s="6">
        <f>GlowNestSocialTable3[[#This Row],[Link Clicks]]/GlowNestSocialTable3[[#This Row],[Reach]]</f>
        <v>6.2320463508447341E-3</v>
      </c>
    </row>
    <row r="341" spans="1:19">
      <c r="A341" t="s">
        <v>376</v>
      </c>
      <c r="B341" s="2">
        <v>45862</v>
      </c>
      <c r="C341" t="s">
        <v>36</v>
      </c>
      <c r="D341" t="s">
        <v>30</v>
      </c>
      <c r="E341" t="s">
        <v>49</v>
      </c>
      <c r="F341" t="s">
        <v>22</v>
      </c>
      <c r="G341" t="s">
        <v>23</v>
      </c>
      <c r="H341" s="3">
        <v>87156</v>
      </c>
      <c r="I341" s="3">
        <v>39581</v>
      </c>
      <c r="J341" s="3">
        <v>26820</v>
      </c>
      <c r="K341" s="3">
        <v>340</v>
      </c>
      <c r="L341" s="3">
        <v>42</v>
      </c>
      <c r="M341" s="3">
        <v>45</v>
      </c>
      <c r="N341" s="3">
        <v>62</v>
      </c>
      <c r="O341" s="3">
        <v>86</v>
      </c>
      <c r="P341" s="3"/>
      <c r="Q341" s="3">
        <v>489</v>
      </c>
      <c r="R341" s="4">
        <v>1.82</v>
      </c>
      <c r="S341" s="6">
        <f>GlowNestSocialTable3[[#This Row],[Link Clicks]]/GlowNestSocialTable3[[#This Row],[Reach]]</f>
        <v>3.2065622669649515E-3</v>
      </c>
    </row>
    <row r="342" spans="1:19">
      <c r="A342" t="s">
        <v>377</v>
      </c>
      <c r="B342" s="2">
        <v>45863</v>
      </c>
      <c r="C342" t="s">
        <v>19</v>
      </c>
      <c r="D342" t="s">
        <v>30</v>
      </c>
      <c r="E342" t="s">
        <v>27</v>
      </c>
      <c r="F342" t="s">
        <v>42</v>
      </c>
      <c r="G342" t="s">
        <v>38</v>
      </c>
      <c r="H342" s="3">
        <v>72421</v>
      </c>
      <c r="I342" s="3">
        <v>67322</v>
      </c>
      <c r="J342" s="3">
        <v>47030</v>
      </c>
      <c r="K342" s="3">
        <v>1364</v>
      </c>
      <c r="L342" s="3">
        <v>273</v>
      </c>
      <c r="M342" s="3">
        <v>150</v>
      </c>
      <c r="N342" s="3">
        <v>411</v>
      </c>
      <c r="O342" s="3">
        <v>410</v>
      </c>
      <c r="P342" s="3"/>
      <c r="Q342" s="3">
        <v>2198</v>
      </c>
      <c r="R342" s="4">
        <v>4.67</v>
      </c>
      <c r="S342" s="6">
        <f>GlowNestSocialTable3[[#This Row],[Link Clicks]]/GlowNestSocialTable3[[#This Row],[Reach]]</f>
        <v>8.7178396768020413E-3</v>
      </c>
    </row>
    <row r="343" spans="1:19">
      <c r="A343" t="s">
        <v>378</v>
      </c>
      <c r="B343" s="2">
        <v>45864</v>
      </c>
      <c r="C343" t="s">
        <v>33</v>
      </c>
      <c r="D343" t="s">
        <v>34</v>
      </c>
      <c r="E343" t="s">
        <v>27</v>
      </c>
      <c r="F343" t="s">
        <v>22</v>
      </c>
      <c r="G343" t="s">
        <v>23</v>
      </c>
      <c r="H343" s="3">
        <v>32629</v>
      </c>
      <c r="I343" s="3">
        <v>8279</v>
      </c>
      <c r="J343" s="3">
        <v>5473</v>
      </c>
      <c r="K343" s="3">
        <v>142</v>
      </c>
      <c r="L343" s="3">
        <v>16</v>
      </c>
      <c r="M343" s="3">
        <v>15</v>
      </c>
      <c r="N343" s="3">
        <v>17</v>
      </c>
      <c r="O343" s="3">
        <v>85</v>
      </c>
      <c r="P343" s="3"/>
      <c r="Q343" s="3">
        <v>190</v>
      </c>
      <c r="R343" s="4">
        <v>3.47</v>
      </c>
      <c r="S343" s="6">
        <f>GlowNestSocialTable3[[#This Row],[Link Clicks]]/GlowNestSocialTable3[[#This Row],[Reach]]</f>
        <v>1.5530787502283939E-2</v>
      </c>
    </row>
    <row r="344" spans="1:19">
      <c r="A344" t="s">
        <v>379</v>
      </c>
      <c r="B344" s="2">
        <v>45864</v>
      </c>
      <c r="C344" t="s">
        <v>36</v>
      </c>
      <c r="D344" t="s">
        <v>34</v>
      </c>
      <c r="E344" t="s">
        <v>27</v>
      </c>
      <c r="F344" t="s">
        <v>28</v>
      </c>
      <c r="G344" t="s">
        <v>23</v>
      </c>
      <c r="H344" s="3">
        <v>86516</v>
      </c>
      <c r="I344" s="3">
        <v>32075</v>
      </c>
      <c r="J344" s="3">
        <v>27740</v>
      </c>
      <c r="K344" s="3">
        <v>336</v>
      </c>
      <c r="L344" s="3">
        <v>38</v>
      </c>
      <c r="M344" s="3">
        <v>40</v>
      </c>
      <c r="N344" s="3">
        <v>75</v>
      </c>
      <c r="O344" s="3">
        <v>172</v>
      </c>
      <c r="P344" s="3"/>
      <c r="Q344" s="3">
        <v>489</v>
      </c>
      <c r="R344" s="4">
        <v>1.76</v>
      </c>
      <c r="S344" s="6">
        <f>GlowNestSocialTable3[[#This Row],[Link Clicks]]/GlowNestSocialTable3[[#This Row],[Reach]]</f>
        <v>6.2004325883201154E-3</v>
      </c>
    </row>
    <row r="345" spans="1:19">
      <c r="A345" t="s">
        <v>380</v>
      </c>
      <c r="B345" s="2">
        <v>45865</v>
      </c>
      <c r="C345" t="s">
        <v>36</v>
      </c>
      <c r="D345" t="s">
        <v>20</v>
      </c>
      <c r="E345" t="s">
        <v>25</v>
      </c>
      <c r="F345" t="s">
        <v>28</v>
      </c>
      <c r="G345" t="s">
        <v>23</v>
      </c>
      <c r="H345" s="3">
        <v>85433</v>
      </c>
      <c r="I345" s="3">
        <v>60084</v>
      </c>
      <c r="J345" s="3">
        <v>46598</v>
      </c>
      <c r="K345" s="3">
        <v>498</v>
      </c>
      <c r="L345" s="3">
        <v>78</v>
      </c>
      <c r="M345" s="3">
        <v>60</v>
      </c>
      <c r="N345" s="3">
        <v>127</v>
      </c>
      <c r="O345" s="3">
        <v>149</v>
      </c>
      <c r="P345" s="3">
        <v>31730</v>
      </c>
      <c r="Q345" s="3">
        <v>763</v>
      </c>
      <c r="R345" s="4">
        <v>1.64</v>
      </c>
      <c r="S345" s="6">
        <f>GlowNestSocialTable3[[#This Row],[Link Clicks]]/GlowNestSocialTable3[[#This Row],[Reach]]</f>
        <v>3.1975621271299196E-3</v>
      </c>
    </row>
    <row r="346" spans="1:19">
      <c r="A346" t="s">
        <v>381</v>
      </c>
      <c r="B346" s="2">
        <v>45865</v>
      </c>
      <c r="C346" t="s">
        <v>33</v>
      </c>
      <c r="D346" t="s">
        <v>37</v>
      </c>
      <c r="E346" t="s">
        <v>27</v>
      </c>
      <c r="F346" t="s">
        <v>44</v>
      </c>
      <c r="G346" t="s">
        <v>23</v>
      </c>
      <c r="H346" s="3">
        <v>35048</v>
      </c>
      <c r="I346" s="3">
        <v>13310</v>
      </c>
      <c r="J346" s="3">
        <v>10161</v>
      </c>
      <c r="K346" s="3">
        <v>385</v>
      </c>
      <c r="L346" s="3">
        <v>62</v>
      </c>
      <c r="M346" s="3">
        <v>40</v>
      </c>
      <c r="N346" s="3">
        <v>111</v>
      </c>
      <c r="O346" s="3">
        <v>184</v>
      </c>
      <c r="P346" s="3"/>
      <c r="Q346" s="3">
        <v>598</v>
      </c>
      <c r="R346" s="4">
        <v>5.89</v>
      </c>
      <c r="S346" s="6">
        <f>GlowNestSocialTable3[[#This Row],[Link Clicks]]/GlowNestSocialTable3[[#This Row],[Reach]]</f>
        <v>1.8108453892333433E-2</v>
      </c>
    </row>
    <row r="347" spans="1:19">
      <c r="A347" t="s">
        <v>382</v>
      </c>
      <c r="B347" s="2">
        <v>45866</v>
      </c>
      <c r="C347" t="s">
        <v>36</v>
      </c>
      <c r="D347" t="s">
        <v>37</v>
      </c>
      <c r="E347" t="s">
        <v>46</v>
      </c>
      <c r="F347" t="s">
        <v>42</v>
      </c>
      <c r="G347" t="s">
        <v>23</v>
      </c>
      <c r="H347" s="3">
        <v>88369</v>
      </c>
      <c r="I347" s="3">
        <v>48993</v>
      </c>
      <c r="J347" s="3">
        <v>44754</v>
      </c>
      <c r="K347" s="3">
        <v>869</v>
      </c>
      <c r="L347" s="3">
        <v>154</v>
      </c>
      <c r="M347" s="3">
        <v>89</v>
      </c>
      <c r="N347" s="3">
        <v>208</v>
      </c>
      <c r="O347" s="3">
        <v>214</v>
      </c>
      <c r="P347" s="3"/>
      <c r="Q347" s="3">
        <v>1320</v>
      </c>
      <c r="R347" s="4">
        <v>2.95</v>
      </c>
      <c r="S347" s="6">
        <f>GlowNestSocialTable3[[#This Row],[Link Clicks]]/GlowNestSocialTable3[[#This Row],[Reach]]</f>
        <v>4.781695490905841E-3</v>
      </c>
    </row>
    <row r="348" spans="1:19">
      <c r="A348" t="s">
        <v>383</v>
      </c>
      <c r="B348" s="2">
        <v>45867</v>
      </c>
      <c r="C348" t="s">
        <v>33</v>
      </c>
      <c r="D348" t="s">
        <v>30</v>
      </c>
      <c r="E348" t="s">
        <v>27</v>
      </c>
      <c r="F348" t="s">
        <v>44</v>
      </c>
      <c r="G348" t="s">
        <v>38</v>
      </c>
      <c r="H348" s="3">
        <v>33938</v>
      </c>
      <c r="I348" s="3">
        <v>12485</v>
      </c>
      <c r="J348" s="3">
        <v>9969</v>
      </c>
      <c r="K348" s="3">
        <v>257</v>
      </c>
      <c r="L348" s="3">
        <v>48</v>
      </c>
      <c r="M348" s="3">
        <v>32</v>
      </c>
      <c r="N348" s="3">
        <v>37</v>
      </c>
      <c r="O348" s="3">
        <v>152</v>
      </c>
      <c r="P348" s="3"/>
      <c r="Q348" s="3">
        <v>374</v>
      </c>
      <c r="R348" s="4">
        <v>3.75</v>
      </c>
      <c r="S348" s="6">
        <f>GlowNestSocialTable3[[#This Row],[Link Clicks]]/GlowNestSocialTable3[[#This Row],[Reach]]</f>
        <v>1.5247266526231318E-2</v>
      </c>
    </row>
    <row r="349" spans="1:19">
      <c r="A349" t="s">
        <v>384</v>
      </c>
      <c r="B349" s="2">
        <v>45867</v>
      </c>
      <c r="C349" t="s">
        <v>19</v>
      </c>
      <c r="D349" t="s">
        <v>37</v>
      </c>
      <c r="E349" t="s">
        <v>49</v>
      </c>
      <c r="F349" t="s">
        <v>22</v>
      </c>
      <c r="G349" t="s">
        <v>23</v>
      </c>
      <c r="H349" s="3">
        <v>71218</v>
      </c>
      <c r="I349" s="3">
        <v>38730</v>
      </c>
      <c r="J349" s="3">
        <v>26460</v>
      </c>
      <c r="K349" s="3">
        <v>941</v>
      </c>
      <c r="L349" s="3">
        <v>107</v>
      </c>
      <c r="M349" s="3">
        <v>131</v>
      </c>
      <c r="N349" s="3">
        <v>240</v>
      </c>
      <c r="O349" s="3">
        <v>215</v>
      </c>
      <c r="P349" s="3"/>
      <c r="Q349" s="3">
        <v>1419</v>
      </c>
      <c r="R349" s="4">
        <v>5.36</v>
      </c>
      <c r="S349" s="6">
        <f>GlowNestSocialTable3[[#This Row],[Link Clicks]]/GlowNestSocialTable3[[#This Row],[Reach]]</f>
        <v>8.1254724111866974E-3</v>
      </c>
    </row>
    <row r="350" spans="1:19">
      <c r="A350" t="s">
        <v>385</v>
      </c>
      <c r="B350" s="2">
        <v>45868</v>
      </c>
      <c r="C350" t="s">
        <v>19</v>
      </c>
      <c r="D350" t="s">
        <v>20</v>
      </c>
      <c r="E350" t="s">
        <v>27</v>
      </c>
      <c r="F350" t="s">
        <v>44</v>
      </c>
      <c r="G350" t="s">
        <v>23</v>
      </c>
      <c r="H350" s="3">
        <v>74882</v>
      </c>
      <c r="I350" s="3">
        <v>35448</v>
      </c>
      <c r="J350" s="3">
        <v>28848</v>
      </c>
      <c r="K350" s="3">
        <v>1397</v>
      </c>
      <c r="L350" s="3">
        <v>215</v>
      </c>
      <c r="M350" s="3">
        <v>176</v>
      </c>
      <c r="N350" s="3">
        <v>826</v>
      </c>
      <c r="O350" s="3">
        <v>346</v>
      </c>
      <c r="P350" s="3">
        <v>16228</v>
      </c>
      <c r="Q350" s="3">
        <v>2614</v>
      </c>
      <c r="R350" s="4">
        <v>9.06</v>
      </c>
      <c r="S350" s="6">
        <f>GlowNestSocialTable3[[#This Row],[Link Clicks]]/GlowNestSocialTable3[[#This Row],[Reach]]</f>
        <v>1.199389905712701E-2</v>
      </c>
    </row>
    <row r="351" spans="1:19">
      <c r="A351" t="s">
        <v>386</v>
      </c>
      <c r="B351" s="2">
        <v>45868</v>
      </c>
      <c r="C351" t="s">
        <v>36</v>
      </c>
      <c r="D351" t="s">
        <v>37</v>
      </c>
      <c r="E351" t="s">
        <v>49</v>
      </c>
      <c r="F351" t="s">
        <v>22</v>
      </c>
      <c r="G351" t="s">
        <v>23</v>
      </c>
      <c r="H351" s="3">
        <v>87379</v>
      </c>
      <c r="I351" s="3">
        <v>64208</v>
      </c>
      <c r="J351" s="3">
        <v>45691</v>
      </c>
      <c r="K351" s="3">
        <v>896</v>
      </c>
      <c r="L351" s="3">
        <v>91</v>
      </c>
      <c r="M351" s="3">
        <v>116</v>
      </c>
      <c r="N351" s="3">
        <v>231</v>
      </c>
      <c r="O351" s="3">
        <v>166</v>
      </c>
      <c r="P351" s="3"/>
      <c r="Q351" s="3">
        <v>1334</v>
      </c>
      <c r="R351" s="4">
        <v>2.92</v>
      </c>
      <c r="S351" s="6">
        <f>GlowNestSocialTable3[[#This Row],[Link Clicks]]/GlowNestSocialTable3[[#This Row],[Reach]]</f>
        <v>3.6331006106235363E-3</v>
      </c>
    </row>
    <row r="352" spans="1:19">
      <c r="A352" t="s">
        <v>387</v>
      </c>
      <c r="B352" s="2">
        <v>45869</v>
      </c>
      <c r="C352" t="s">
        <v>19</v>
      </c>
      <c r="D352" t="s">
        <v>30</v>
      </c>
      <c r="E352" t="s">
        <v>49</v>
      </c>
      <c r="F352" t="s">
        <v>28</v>
      </c>
      <c r="G352" t="s">
        <v>23</v>
      </c>
      <c r="H352" s="3">
        <v>74287</v>
      </c>
      <c r="I352" s="3">
        <v>28083</v>
      </c>
      <c r="J352" s="3">
        <v>21800</v>
      </c>
      <c r="K352" s="3">
        <v>737</v>
      </c>
      <c r="L352" s="3">
        <v>83</v>
      </c>
      <c r="M352" s="3">
        <v>108</v>
      </c>
      <c r="N352" s="3">
        <v>86</v>
      </c>
      <c r="O352" s="3">
        <v>179</v>
      </c>
      <c r="P352" s="3"/>
      <c r="Q352" s="3">
        <v>1014</v>
      </c>
      <c r="R352" s="4">
        <v>4.6500000000000004</v>
      </c>
      <c r="S352" s="6">
        <f>GlowNestSocialTable3[[#This Row],[Link Clicks]]/GlowNestSocialTable3[[#This Row],[Reach]]</f>
        <v>8.211009174311926E-3</v>
      </c>
    </row>
    <row r="353" spans="1:19">
      <c r="A353" t="s">
        <v>388</v>
      </c>
      <c r="B353" s="2">
        <v>45870</v>
      </c>
      <c r="C353" t="s">
        <v>36</v>
      </c>
      <c r="D353" t="s">
        <v>30</v>
      </c>
      <c r="E353" t="s">
        <v>49</v>
      </c>
      <c r="F353" t="s">
        <v>28</v>
      </c>
      <c r="G353" t="s">
        <v>23</v>
      </c>
      <c r="H353" s="3">
        <v>87322</v>
      </c>
      <c r="I353" s="3">
        <v>32146</v>
      </c>
      <c r="J353" s="3">
        <v>28278</v>
      </c>
      <c r="K353" s="3">
        <v>334</v>
      </c>
      <c r="L353" s="3">
        <v>46</v>
      </c>
      <c r="M353" s="3">
        <v>37</v>
      </c>
      <c r="N353" s="3">
        <v>44</v>
      </c>
      <c r="O353" s="3">
        <v>102</v>
      </c>
      <c r="P353" s="3"/>
      <c r="Q353" s="3">
        <v>461</v>
      </c>
      <c r="R353" s="4">
        <v>1.63</v>
      </c>
      <c r="S353" s="6">
        <f>GlowNestSocialTable3[[#This Row],[Link Clicks]]/GlowNestSocialTable3[[#This Row],[Reach]]</f>
        <v>3.607044345427541E-3</v>
      </c>
    </row>
    <row r="354" spans="1:19">
      <c r="A354" t="s">
        <v>389</v>
      </c>
      <c r="B354" s="2">
        <v>45870</v>
      </c>
      <c r="C354" t="s">
        <v>33</v>
      </c>
      <c r="D354" t="s">
        <v>30</v>
      </c>
      <c r="E354" t="s">
        <v>49</v>
      </c>
      <c r="F354" t="s">
        <v>22</v>
      </c>
      <c r="G354" t="s">
        <v>23</v>
      </c>
      <c r="H354" s="3">
        <v>34613</v>
      </c>
      <c r="I354" s="3">
        <v>10899</v>
      </c>
      <c r="J354" s="3">
        <v>8170</v>
      </c>
      <c r="K354" s="3">
        <v>194</v>
      </c>
      <c r="L354" s="3">
        <v>34</v>
      </c>
      <c r="M354" s="3">
        <v>19</v>
      </c>
      <c r="N354" s="3">
        <v>26</v>
      </c>
      <c r="O354" s="3">
        <v>81</v>
      </c>
      <c r="P354" s="3"/>
      <c r="Q354" s="3">
        <v>273</v>
      </c>
      <c r="R354" s="4">
        <v>3.34</v>
      </c>
      <c r="S354" s="6">
        <f>GlowNestSocialTable3[[#This Row],[Link Clicks]]/GlowNestSocialTable3[[#This Row],[Reach]]</f>
        <v>9.9143206854345172E-3</v>
      </c>
    </row>
    <row r="355" spans="1:19">
      <c r="A355" t="s">
        <v>390</v>
      </c>
      <c r="B355" s="2">
        <v>45871</v>
      </c>
      <c r="C355" t="s">
        <v>33</v>
      </c>
      <c r="D355" t="s">
        <v>34</v>
      </c>
      <c r="E355" t="s">
        <v>49</v>
      </c>
      <c r="F355" t="s">
        <v>42</v>
      </c>
      <c r="G355" t="s">
        <v>23</v>
      </c>
      <c r="H355" s="3">
        <v>32824</v>
      </c>
      <c r="I355" s="3">
        <v>6597</v>
      </c>
      <c r="J355" s="3">
        <v>5934</v>
      </c>
      <c r="K355" s="3">
        <v>146</v>
      </c>
      <c r="L355" s="3">
        <v>26</v>
      </c>
      <c r="M355" s="3">
        <v>13</v>
      </c>
      <c r="N355" s="3">
        <v>11</v>
      </c>
      <c r="O355" s="3">
        <v>86</v>
      </c>
      <c r="P355" s="3"/>
      <c r="Q355" s="3">
        <v>196</v>
      </c>
      <c r="R355" s="4">
        <v>3.3</v>
      </c>
      <c r="S355" s="6">
        <f>GlowNestSocialTable3[[#This Row],[Link Clicks]]/GlowNestSocialTable3[[#This Row],[Reach]]</f>
        <v>1.4492753623188406E-2</v>
      </c>
    </row>
    <row r="356" spans="1:19">
      <c r="A356" t="s">
        <v>391</v>
      </c>
      <c r="B356" s="2">
        <v>45871</v>
      </c>
      <c r="C356" t="s">
        <v>19</v>
      </c>
      <c r="D356" t="s">
        <v>30</v>
      </c>
      <c r="E356" t="s">
        <v>21</v>
      </c>
      <c r="F356" t="s">
        <v>42</v>
      </c>
      <c r="G356" t="s">
        <v>23</v>
      </c>
      <c r="H356" s="3">
        <v>71203</v>
      </c>
      <c r="I356" s="3">
        <v>32303</v>
      </c>
      <c r="J356" s="3">
        <v>24804</v>
      </c>
      <c r="K356" s="3">
        <v>904</v>
      </c>
      <c r="L356" s="3">
        <v>115</v>
      </c>
      <c r="M356" s="3">
        <v>89</v>
      </c>
      <c r="N356" s="3">
        <v>193</v>
      </c>
      <c r="O356" s="3">
        <v>291</v>
      </c>
      <c r="P356" s="3"/>
      <c r="Q356" s="3">
        <v>1301</v>
      </c>
      <c r="R356" s="4">
        <v>5.25</v>
      </c>
      <c r="S356" s="6">
        <f>GlowNestSocialTable3[[#This Row],[Link Clicks]]/GlowNestSocialTable3[[#This Row],[Reach]]</f>
        <v>1.1731978713110788E-2</v>
      </c>
    </row>
    <row r="357" spans="1:19">
      <c r="A357" t="s">
        <v>392</v>
      </c>
      <c r="B357" s="2">
        <v>45872</v>
      </c>
      <c r="C357" t="s">
        <v>33</v>
      </c>
      <c r="D357" t="s">
        <v>30</v>
      </c>
      <c r="E357" t="s">
        <v>27</v>
      </c>
      <c r="F357" t="s">
        <v>28</v>
      </c>
      <c r="G357" t="s">
        <v>23</v>
      </c>
      <c r="H357" s="3">
        <v>35483</v>
      </c>
      <c r="I357" s="3">
        <v>12957</v>
      </c>
      <c r="J357" s="3">
        <v>9311</v>
      </c>
      <c r="K357" s="3">
        <v>296</v>
      </c>
      <c r="L357" s="3">
        <v>41</v>
      </c>
      <c r="M357" s="3">
        <v>38</v>
      </c>
      <c r="N357" s="3">
        <v>84</v>
      </c>
      <c r="O357" s="3">
        <v>128</v>
      </c>
      <c r="P357" s="3"/>
      <c r="Q357" s="3">
        <v>459</v>
      </c>
      <c r="R357" s="4">
        <v>4.93</v>
      </c>
      <c r="S357" s="6">
        <f>GlowNestSocialTable3[[#This Row],[Link Clicks]]/GlowNestSocialTable3[[#This Row],[Reach]]</f>
        <v>1.3747180753946944E-2</v>
      </c>
    </row>
    <row r="358" spans="1:19">
      <c r="A358" t="s">
        <v>393</v>
      </c>
      <c r="B358" s="2">
        <v>45873</v>
      </c>
      <c r="C358" t="s">
        <v>19</v>
      </c>
      <c r="D358" t="s">
        <v>30</v>
      </c>
      <c r="E358" t="s">
        <v>25</v>
      </c>
      <c r="F358" t="s">
        <v>28</v>
      </c>
      <c r="G358" t="s">
        <v>23</v>
      </c>
      <c r="H358" s="3">
        <v>72741</v>
      </c>
      <c r="I358" s="3">
        <v>23825</v>
      </c>
      <c r="J358" s="3">
        <v>19177</v>
      </c>
      <c r="K358" s="3">
        <v>435</v>
      </c>
      <c r="L358" s="3">
        <v>86</v>
      </c>
      <c r="M358" s="3">
        <v>52</v>
      </c>
      <c r="N358" s="3">
        <v>53</v>
      </c>
      <c r="O358" s="3">
        <v>154</v>
      </c>
      <c r="P358" s="3"/>
      <c r="Q358" s="3">
        <v>626</v>
      </c>
      <c r="R358" s="4">
        <v>3.26</v>
      </c>
      <c r="S358" s="6">
        <f>GlowNestSocialTable3[[#This Row],[Link Clicks]]/GlowNestSocialTable3[[#This Row],[Reach]]</f>
        <v>8.0304531469990101E-3</v>
      </c>
    </row>
    <row r="359" spans="1:19">
      <c r="A359" t="s">
        <v>394</v>
      </c>
      <c r="B359" s="2">
        <v>45873</v>
      </c>
      <c r="C359" t="s">
        <v>33</v>
      </c>
      <c r="D359" t="s">
        <v>37</v>
      </c>
      <c r="E359" t="s">
        <v>27</v>
      </c>
      <c r="F359" t="s">
        <v>22</v>
      </c>
      <c r="G359" t="s">
        <v>38</v>
      </c>
      <c r="H359" s="3">
        <v>33330</v>
      </c>
      <c r="I359" s="3">
        <v>17466</v>
      </c>
      <c r="J359" s="3">
        <v>11276</v>
      </c>
      <c r="K359" s="3">
        <v>363</v>
      </c>
      <c r="L359" s="3">
        <v>45</v>
      </c>
      <c r="M359" s="3">
        <v>47</v>
      </c>
      <c r="N359" s="3">
        <v>154</v>
      </c>
      <c r="O359" s="3">
        <v>174</v>
      </c>
      <c r="P359" s="3"/>
      <c r="Q359" s="3">
        <v>609</v>
      </c>
      <c r="R359" s="4">
        <v>5.4</v>
      </c>
      <c r="S359" s="6">
        <f>GlowNestSocialTable3[[#This Row],[Link Clicks]]/GlowNestSocialTable3[[#This Row],[Reach]]</f>
        <v>1.5431003902092941E-2</v>
      </c>
    </row>
    <row r="360" spans="1:19">
      <c r="A360" t="s">
        <v>395</v>
      </c>
      <c r="B360" s="2">
        <v>45874</v>
      </c>
      <c r="C360" t="s">
        <v>36</v>
      </c>
      <c r="D360" t="s">
        <v>34</v>
      </c>
      <c r="E360" t="s">
        <v>25</v>
      </c>
      <c r="F360" t="s">
        <v>44</v>
      </c>
      <c r="G360" t="s">
        <v>23</v>
      </c>
      <c r="H360" s="3">
        <v>87540</v>
      </c>
      <c r="I360" s="3">
        <v>34767</v>
      </c>
      <c r="J360" s="3">
        <v>25494</v>
      </c>
      <c r="K360" s="3">
        <v>226</v>
      </c>
      <c r="L360" s="3">
        <v>39</v>
      </c>
      <c r="M360" s="3">
        <v>27</v>
      </c>
      <c r="N360" s="3">
        <v>20</v>
      </c>
      <c r="O360" s="3">
        <v>112</v>
      </c>
      <c r="P360" s="3"/>
      <c r="Q360" s="3">
        <v>312</v>
      </c>
      <c r="R360" s="4">
        <v>1.22</v>
      </c>
      <c r="S360" s="6">
        <f>GlowNestSocialTable3[[#This Row],[Link Clicks]]/GlowNestSocialTable3[[#This Row],[Reach]]</f>
        <v>4.3931905546403076E-3</v>
      </c>
    </row>
    <row r="361" spans="1:19">
      <c r="A361" t="s">
        <v>396</v>
      </c>
      <c r="B361" s="2">
        <v>45874</v>
      </c>
      <c r="C361" t="s">
        <v>36</v>
      </c>
      <c r="D361" t="s">
        <v>30</v>
      </c>
      <c r="E361" t="s">
        <v>49</v>
      </c>
      <c r="F361" t="s">
        <v>44</v>
      </c>
      <c r="G361" t="s">
        <v>23</v>
      </c>
      <c r="H361" s="3">
        <v>86357</v>
      </c>
      <c r="I361" s="3">
        <v>49046</v>
      </c>
      <c r="J361" s="3">
        <v>41551</v>
      </c>
      <c r="K361" s="3">
        <v>640</v>
      </c>
      <c r="L361" s="3">
        <v>81</v>
      </c>
      <c r="M361" s="3">
        <v>101</v>
      </c>
      <c r="N361" s="3">
        <v>70</v>
      </c>
      <c r="O361" s="3">
        <v>119</v>
      </c>
      <c r="P361" s="3"/>
      <c r="Q361" s="3">
        <v>892</v>
      </c>
      <c r="R361" s="4">
        <v>2.15</v>
      </c>
      <c r="S361" s="6">
        <f>GlowNestSocialTable3[[#This Row],[Link Clicks]]/GlowNestSocialTable3[[#This Row],[Reach]]</f>
        <v>2.8639503261052683E-3</v>
      </c>
    </row>
    <row r="362" spans="1:19">
      <c r="A362" t="s">
        <v>397</v>
      </c>
      <c r="B362" s="2">
        <v>45875</v>
      </c>
      <c r="C362" t="s">
        <v>19</v>
      </c>
      <c r="D362" t="s">
        <v>37</v>
      </c>
      <c r="E362" t="s">
        <v>49</v>
      </c>
      <c r="F362" t="s">
        <v>42</v>
      </c>
      <c r="G362" t="s">
        <v>23</v>
      </c>
      <c r="H362" s="3">
        <v>73792</v>
      </c>
      <c r="I362" s="3">
        <v>40070</v>
      </c>
      <c r="J362" s="3">
        <v>30291</v>
      </c>
      <c r="K362" s="3">
        <v>1120</v>
      </c>
      <c r="L362" s="3">
        <v>141</v>
      </c>
      <c r="M362" s="3">
        <v>112</v>
      </c>
      <c r="N362" s="3">
        <v>282</v>
      </c>
      <c r="O362" s="3">
        <v>328</v>
      </c>
      <c r="P362" s="3"/>
      <c r="Q362" s="3">
        <v>1655</v>
      </c>
      <c r="R362" s="4">
        <v>5.46</v>
      </c>
      <c r="S362" s="6">
        <f>GlowNestSocialTable3[[#This Row],[Link Clicks]]/GlowNestSocialTable3[[#This Row],[Reach]]</f>
        <v>1.0828298834637351E-2</v>
      </c>
    </row>
    <row r="363" spans="1:19">
      <c r="A363" t="s">
        <v>398</v>
      </c>
      <c r="B363" s="2">
        <v>45876</v>
      </c>
      <c r="C363" t="s">
        <v>19</v>
      </c>
      <c r="D363" t="s">
        <v>20</v>
      </c>
      <c r="E363" t="s">
        <v>27</v>
      </c>
      <c r="F363" t="s">
        <v>28</v>
      </c>
      <c r="G363" t="s">
        <v>23</v>
      </c>
      <c r="H363" s="3">
        <v>72441</v>
      </c>
      <c r="I363" s="3">
        <v>32894</v>
      </c>
      <c r="J363" s="3">
        <v>28207</v>
      </c>
      <c r="K363" s="3">
        <v>1599</v>
      </c>
      <c r="L363" s="3">
        <v>211</v>
      </c>
      <c r="M363" s="3">
        <v>284</v>
      </c>
      <c r="N363" s="3">
        <v>577</v>
      </c>
      <c r="O363" s="3">
        <v>387</v>
      </c>
      <c r="P363" s="3">
        <v>23151</v>
      </c>
      <c r="Q363" s="3">
        <v>2671</v>
      </c>
      <c r="R363" s="4">
        <v>9.4700000000000006</v>
      </c>
      <c r="S363" s="6">
        <f>GlowNestSocialTable3[[#This Row],[Link Clicks]]/GlowNestSocialTable3[[#This Row],[Reach]]</f>
        <v>1.3719998581912292E-2</v>
      </c>
    </row>
    <row r="364" spans="1:19">
      <c r="A364" t="s">
        <v>399</v>
      </c>
      <c r="B364" s="2">
        <v>45876</v>
      </c>
      <c r="C364" t="s">
        <v>19</v>
      </c>
      <c r="D364" t="s">
        <v>20</v>
      </c>
      <c r="E364" t="s">
        <v>46</v>
      </c>
      <c r="F364" t="s">
        <v>42</v>
      </c>
      <c r="G364" t="s">
        <v>23</v>
      </c>
      <c r="H364" s="3">
        <v>72581</v>
      </c>
      <c r="I364" s="3">
        <v>38244</v>
      </c>
      <c r="J364" s="3">
        <v>27223</v>
      </c>
      <c r="K364" s="3">
        <v>1423</v>
      </c>
      <c r="L364" s="3">
        <v>184</v>
      </c>
      <c r="M364" s="3">
        <v>158</v>
      </c>
      <c r="N364" s="3">
        <v>190</v>
      </c>
      <c r="O364" s="3">
        <v>420</v>
      </c>
      <c r="P364" s="3">
        <v>19941</v>
      </c>
      <c r="Q364" s="3">
        <v>1955</v>
      </c>
      <c r="R364" s="4">
        <v>7.18</v>
      </c>
      <c r="S364" s="6">
        <f>GlowNestSocialTable3[[#This Row],[Link Clicks]]/GlowNestSocialTable3[[#This Row],[Reach]]</f>
        <v>1.542813062483929E-2</v>
      </c>
    </row>
    <row r="365" spans="1:19">
      <c r="A365" t="s">
        <v>400</v>
      </c>
      <c r="B365" s="2">
        <v>45877</v>
      </c>
      <c r="C365" t="s">
        <v>19</v>
      </c>
      <c r="D365" t="s">
        <v>20</v>
      </c>
      <c r="E365" t="s">
        <v>49</v>
      </c>
      <c r="F365" t="s">
        <v>22</v>
      </c>
      <c r="G365" t="s">
        <v>23</v>
      </c>
      <c r="H365" s="3">
        <v>72247</v>
      </c>
      <c r="I365" s="3">
        <v>34029</v>
      </c>
      <c r="J365" s="3">
        <v>27259</v>
      </c>
      <c r="K365" s="3">
        <v>1374</v>
      </c>
      <c r="L365" s="3">
        <v>164</v>
      </c>
      <c r="M365" s="3">
        <v>220</v>
      </c>
      <c r="N365" s="3">
        <v>425</v>
      </c>
      <c r="O365" s="3">
        <v>184</v>
      </c>
      <c r="P365" s="3">
        <v>20179</v>
      </c>
      <c r="Q365" s="3">
        <v>2183</v>
      </c>
      <c r="R365" s="4">
        <v>8.01</v>
      </c>
      <c r="S365" s="6">
        <f>GlowNestSocialTable3[[#This Row],[Link Clicks]]/GlowNestSocialTable3[[#This Row],[Reach]]</f>
        <v>6.7500641989801536E-3</v>
      </c>
    </row>
    <row r="366" spans="1:19">
      <c r="A366" t="s">
        <v>401</v>
      </c>
      <c r="B366" s="2">
        <v>45877</v>
      </c>
      <c r="C366" t="s">
        <v>36</v>
      </c>
      <c r="D366" t="s">
        <v>20</v>
      </c>
      <c r="E366" t="s">
        <v>25</v>
      </c>
      <c r="F366" t="s">
        <v>22</v>
      </c>
      <c r="G366" t="s">
        <v>38</v>
      </c>
      <c r="H366" s="3">
        <v>87448</v>
      </c>
      <c r="I366" s="3">
        <v>96663</v>
      </c>
      <c r="J366" s="3">
        <v>85421</v>
      </c>
      <c r="K366" s="3">
        <v>1287</v>
      </c>
      <c r="L366" s="3">
        <v>173</v>
      </c>
      <c r="M366" s="3">
        <v>186</v>
      </c>
      <c r="N366" s="3">
        <v>82</v>
      </c>
      <c r="O366" s="3">
        <v>389</v>
      </c>
      <c r="P366" s="3">
        <v>60804</v>
      </c>
      <c r="Q366" s="3">
        <v>1728</v>
      </c>
      <c r="R366" s="4">
        <v>2.02</v>
      </c>
      <c r="S366" s="6">
        <f>GlowNestSocialTable3[[#This Row],[Link Clicks]]/GlowNestSocialTable3[[#This Row],[Reach]]</f>
        <v>4.5539153135645801E-3</v>
      </c>
    </row>
    <row r="367" spans="1:19">
      <c r="A367" t="s">
        <v>402</v>
      </c>
      <c r="B367" s="2">
        <v>45878</v>
      </c>
      <c r="C367" t="s">
        <v>19</v>
      </c>
      <c r="D367" t="s">
        <v>20</v>
      </c>
      <c r="E367" t="s">
        <v>27</v>
      </c>
      <c r="F367" t="s">
        <v>28</v>
      </c>
      <c r="G367" t="s">
        <v>23</v>
      </c>
      <c r="H367" s="3">
        <v>72649</v>
      </c>
      <c r="I367" s="3">
        <v>50228</v>
      </c>
      <c r="J367" s="3">
        <v>37012</v>
      </c>
      <c r="K367" s="3">
        <v>1794</v>
      </c>
      <c r="L367" s="3">
        <v>291</v>
      </c>
      <c r="M367" s="3">
        <v>303</v>
      </c>
      <c r="N367" s="3">
        <v>546</v>
      </c>
      <c r="O367" s="3">
        <v>481</v>
      </c>
      <c r="P367" s="3">
        <v>29094</v>
      </c>
      <c r="Q367" s="3">
        <v>2934</v>
      </c>
      <c r="R367" s="4">
        <v>7.93</v>
      </c>
      <c r="S367" s="6">
        <f>GlowNestSocialTable3[[#This Row],[Link Clicks]]/GlowNestSocialTable3[[#This Row],[Reach]]</f>
        <v>1.2995785150761914E-2</v>
      </c>
    </row>
    <row r="368" spans="1:19">
      <c r="A368" t="s">
        <v>403</v>
      </c>
      <c r="B368" s="2">
        <v>45879</v>
      </c>
      <c r="C368" t="s">
        <v>36</v>
      </c>
      <c r="D368" t="s">
        <v>30</v>
      </c>
      <c r="E368" t="s">
        <v>49</v>
      </c>
      <c r="G368" t="s">
        <v>23</v>
      </c>
      <c r="H368" s="3">
        <v>88475</v>
      </c>
      <c r="I368" s="3">
        <v>38408</v>
      </c>
      <c r="J368" s="3">
        <v>26852</v>
      </c>
      <c r="K368" s="3">
        <v>341</v>
      </c>
      <c r="L368" s="3">
        <v>58</v>
      </c>
      <c r="M368" s="3">
        <v>48</v>
      </c>
      <c r="N368" s="3">
        <v>58</v>
      </c>
      <c r="O368" s="3">
        <v>117</v>
      </c>
      <c r="P368" s="3"/>
      <c r="Q368" s="3">
        <v>505</v>
      </c>
      <c r="R368" s="4">
        <v>1.88</v>
      </c>
      <c r="S368" s="6">
        <f>GlowNestSocialTable3[[#This Row],[Link Clicks]]/GlowNestSocialTable3[[#This Row],[Reach]]</f>
        <v>4.3572173394905407E-3</v>
      </c>
    </row>
    <row r="369" spans="1:19">
      <c r="A369" t="s">
        <v>404</v>
      </c>
      <c r="B369" s="2">
        <v>45879</v>
      </c>
      <c r="C369" t="s">
        <v>36</v>
      </c>
      <c r="D369" t="s">
        <v>405</v>
      </c>
      <c r="E369" t="s">
        <v>25</v>
      </c>
      <c r="F369" t="s">
        <v>44</v>
      </c>
      <c r="G369" t="s">
        <v>23</v>
      </c>
      <c r="H369" s="3">
        <v>87786</v>
      </c>
      <c r="I369" s="3">
        <v>67883</v>
      </c>
      <c r="J369" s="3">
        <v>44777</v>
      </c>
      <c r="K369" s="3">
        <v>508</v>
      </c>
      <c r="L369" s="3">
        <v>47</v>
      </c>
      <c r="M369" s="3">
        <v>44</v>
      </c>
      <c r="N369" s="3">
        <v>60</v>
      </c>
      <c r="O369" s="3">
        <v>202</v>
      </c>
      <c r="P369" s="3"/>
      <c r="Q369" s="3">
        <v>659</v>
      </c>
      <c r="R369" s="4">
        <v>1.47</v>
      </c>
      <c r="S369" s="6">
        <f>GlowNestSocialTable3[[#This Row],[Link Clicks]]/GlowNestSocialTable3[[#This Row],[Reach]]</f>
        <v>4.5112446121892934E-3</v>
      </c>
    </row>
    <row r="370" spans="1:19">
      <c r="A370" t="s">
        <v>406</v>
      </c>
      <c r="B370" s="2">
        <v>45880</v>
      </c>
      <c r="C370" t="s">
        <v>36</v>
      </c>
      <c r="D370" t="s">
        <v>30</v>
      </c>
      <c r="E370" t="s">
        <v>46</v>
      </c>
      <c r="F370" t="s">
        <v>28</v>
      </c>
      <c r="G370" t="s">
        <v>23</v>
      </c>
      <c r="H370" s="3">
        <v>90550</v>
      </c>
      <c r="I370" s="3">
        <v>36124</v>
      </c>
      <c r="J370" s="3">
        <v>27098</v>
      </c>
      <c r="K370" s="3">
        <v>361</v>
      </c>
      <c r="L370" s="3">
        <v>55</v>
      </c>
      <c r="M370" s="3">
        <v>38</v>
      </c>
      <c r="N370" s="3">
        <v>38</v>
      </c>
      <c r="O370" s="3">
        <v>139</v>
      </c>
      <c r="P370" s="3"/>
      <c r="Q370" s="3">
        <v>492</v>
      </c>
      <c r="R370" s="4">
        <v>1.82</v>
      </c>
      <c r="S370" s="6">
        <f>GlowNestSocialTable3[[#This Row],[Link Clicks]]/GlowNestSocialTable3[[#This Row],[Reach]]</f>
        <v>5.1295298546018154E-3</v>
      </c>
    </row>
    <row r="371" spans="1:19">
      <c r="A371" t="s">
        <v>407</v>
      </c>
      <c r="B371" s="2">
        <v>45881</v>
      </c>
      <c r="C371" t="s">
        <v>19</v>
      </c>
      <c r="D371" t="s">
        <v>34</v>
      </c>
      <c r="E371" t="s">
        <v>25</v>
      </c>
      <c r="F371" t="s">
        <v>42</v>
      </c>
      <c r="G371" t="s">
        <v>23</v>
      </c>
      <c r="H371" s="3">
        <v>73163</v>
      </c>
      <c r="I371" s="3">
        <v>29170</v>
      </c>
      <c r="J371" s="3">
        <v>21366</v>
      </c>
      <c r="K371" s="3">
        <v>345</v>
      </c>
      <c r="L371" s="3">
        <v>53</v>
      </c>
      <c r="M371" s="3">
        <v>42</v>
      </c>
      <c r="N371" s="3">
        <v>44</v>
      </c>
      <c r="O371" s="3">
        <v>195</v>
      </c>
      <c r="P371" s="3"/>
      <c r="Q371" s="3">
        <v>484</v>
      </c>
      <c r="R371" s="4">
        <v>2.27</v>
      </c>
      <c r="S371" s="6">
        <f>GlowNestSocialTable3[[#This Row],[Link Clicks]]/GlowNestSocialTable3[[#This Row],[Reach]]</f>
        <v>9.1266498174670044E-3</v>
      </c>
    </row>
    <row r="372" spans="1:19">
      <c r="A372" t="s">
        <v>408</v>
      </c>
      <c r="B372" s="2">
        <v>45881</v>
      </c>
      <c r="C372" t="s">
        <v>36</v>
      </c>
      <c r="D372" t="s">
        <v>37</v>
      </c>
      <c r="E372" t="s">
        <v>25</v>
      </c>
      <c r="F372" t="s">
        <v>31</v>
      </c>
      <c r="G372" t="s">
        <v>23</v>
      </c>
      <c r="H372" s="3">
        <v>86800</v>
      </c>
      <c r="I372" s="3">
        <v>59745</v>
      </c>
      <c r="J372" s="3">
        <v>48620</v>
      </c>
      <c r="K372" s="3">
        <v>448</v>
      </c>
      <c r="L372" s="3">
        <v>57</v>
      </c>
      <c r="M372" s="3">
        <v>49</v>
      </c>
      <c r="N372" s="3">
        <v>74</v>
      </c>
      <c r="O372" s="3">
        <v>184</v>
      </c>
      <c r="P372" s="3"/>
      <c r="Q372" s="3">
        <v>628</v>
      </c>
      <c r="R372" s="4">
        <v>1.29</v>
      </c>
      <c r="S372" s="6">
        <f>GlowNestSocialTable3[[#This Row],[Link Clicks]]/GlowNestSocialTable3[[#This Row],[Reach]]</f>
        <v>3.7844508432743726E-3</v>
      </c>
    </row>
    <row r="373" spans="1:19">
      <c r="A373" t="s">
        <v>409</v>
      </c>
      <c r="B373" s="2">
        <v>45882</v>
      </c>
      <c r="C373" t="s">
        <v>33</v>
      </c>
      <c r="D373" t="s">
        <v>37</v>
      </c>
      <c r="E373" t="s">
        <v>21</v>
      </c>
      <c r="F373" t="s">
        <v>22</v>
      </c>
      <c r="G373" t="s">
        <v>23</v>
      </c>
      <c r="H373" s="3">
        <v>35488</v>
      </c>
      <c r="I373" s="3">
        <v>8408</v>
      </c>
      <c r="J373" s="3">
        <v>6892</v>
      </c>
      <c r="K373" s="3">
        <v>265</v>
      </c>
      <c r="L373" s="3">
        <v>43</v>
      </c>
      <c r="M373" s="3">
        <v>28</v>
      </c>
      <c r="N373" s="3">
        <v>57</v>
      </c>
      <c r="O373" s="3">
        <v>76</v>
      </c>
      <c r="P373" s="3"/>
      <c r="Q373" s="3">
        <v>393</v>
      </c>
      <c r="R373" s="4">
        <v>5.7</v>
      </c>
      <c r="S373" s="6">
        <f>GlowNestSocialTable3[[#This Row],[Link Clicks]]/GlowNestSocialTable3[[#This Row],[Reach]]</f>
        <v>1.1027278003482298E-2</v>
      </c>
    </row>
    <row r="374" spans="1:19">
      <c r="A374" t="s">
        <v>410</v>
      </c>
      <c r="B374" s="2">
        <v>45882</v>
      </c>
      <c r="C374" t="s">
        <v>19</v>
      </c>
      <c r="D374" t="s">
        <v>37</v>
      </c>
      <c r="E374" t="s">
        <v>46</v>
      </c>
      <c r="F374" t="s">
        <v>42</v>
      </c>
      <c r="G374" t="s">
        <v>23</v>
      </c>
      <c r="H374" s="3">
        <v>73331</v>
      </c>
      <c r="I374" s="3">
        <v>37983</v>
      </c>
      <c r="J374" s="3">
        <v>27756</v>
      </c>
      <c r="K374" s="3">
        <v>1312</v>
      </c>
      <c r="L374" s="3">
        <v>148</v>
      </c>
      <c r="M374" s="3">
        <v>161</v>
      </c>
      <c r="N374" s="3">
        <v>146</v>
      </c>
      <c r="O374" s="3">
        <v>406</v>
      </c>
      <c r="P374" s="3"/>
      <c r="Q374" s="3">
        <v>1767</v>
      </c>
      <c r="R374" s="4">
        <v>6.37</v>
      </c>
      <c r="S374" s="6">
        <f>GlowNestSocialTable3[[#This Row],[Link Clicks]]/GlowNestSocialTable3[[#This Row],[Reach]]</f>
        <v>1.4627467934860932E-2</v>
      </c>
    </row>
    <row r="375" spans="1:19">
      <c r="A375" t="s">
        <v>411</v>
      </c>
      <c r="B375" s="2">
        <v>45883</v>
      </c>
      <c r="C375" t="s">
        <v>19</v>
      </c>
      <c r="D375" t="s">
        <v>37</v>
      </c>
      <c r="E375" t="s">
        <v>27</v>
      </c>
      <c r="F375" t="s">
        <v>42</v>
      </c>
      <c r="G375" t="s">
        <v>38</v>
      </c>
      <c r="H375" s="3">
        <v>74102</v>
      </c>
      <c r="I375" s="3">
        <v>60136</v>
      </c>
      <c r="J375" s="3">
        <v>42754</v>
      </c>
      <c r="K375" s="3">
        <v>1850</v>
      </c>
      <c r="L375" s="3">
        <v>215</v>
      </c>
      <c r="M375" s="3">
        <v>172</v>
      </c>
      <c r="N375" s="3">
        <v>686</v>
      </c>
      <c r="O375" s="3">
        <v>719</v>
      </c>
      <c r="P375" s="3"/>
      <c r="Q375" s="3">
        <v>2923</v>
      </c>
      <c r="R375" s="4">
        <v>6.84</v>
      </c>
      <c r="S375" s="6">
        <f>GlowNestSocialTable3[[#This Row],[Link Clicks]]/GlowNestSocialTable3[[#This Row],[Reach]]</f>
        <v>1.6817139916732938E-2</v>
      </c>
    </row>
    <row r="376" spans="1:19">
      <c r="A376" t="s">
        <v>412</v>
      </c>
      <c r="B376" s="2">
        <v>45884</v>
      </c>
      <c r="C376" t="s">
        <v>19</v>
      </c>
      <c r="D376" t="s">
        <v>37</v>
      </c>
      <c r="E376" t="s">
        <v>49</v>
      </c>
      <c r="F376" t="s">
        <v>44</v>
      </c>
      <c r="G376" t="s">
        <v>23</v>
      </c>
      <c r="H376" s="3">
        <v>71694</v>
      </c>
      <c r="I376" s="3">
        <v>40236</v>
      </c>
      <c r="J376" s="3">
        <v>30237</v>
      </c>
      <c r="K376" s="3">
        <v>1153</v>
      </c>
      <c r="L376" s="3">
        <v>183</v>
      </c>
      <c r="M376" s="3">
        <v>169</v>
      </c>
      <c r="N376" s="3">
        <v>96</v>
      </c>
      <c r="O376" s="3">
        <v>320</v>
      </c>
      <c r="P376" s="3"/>
      <c r="Q376" s="3">
        <v>1601</v>
      </c>
      <c r="R376" s="4">
        <v>5.29</v>
      </c>
      <c r="S376" s="6">
        <f>GlowNestSocialTable3[[#This Row],[Link Clicks]]/GlowNestSocialTable3[[#This Row],[Reach]]</f>
        <v>1.0583060488805106E-2</v>
      </c>
    </row>
    <row r="377" spans="1:19">
      <c r="A377" t="s">
        <v>413</v>
      </c>
      <c r="B377" s="2">
        <v>45884</v>
      </c>
      <c r="C377" t="s">
        <v>19</v>
      </c>
      <c r="D377" t="s">
        <v>20</v>
      </c>
      <c r="E377" t="s">
        <v>27</v>
      </c>
      <c r="F377" t="s">
        <v>31</v>
      </c>
      <c r="G377" t="s">
        <v>23</v>
      </c>
      <c r="H377" s="3">
        <v>71756</v>
      </c>
      <c r="I377" s="3">
        <v>31297</v>
      </c>
      <c r="J377" s="3">
        <v>26729</v>
      </c>
      <c r="K377" s="3">
        <v>1587</v>
      </c>
      <c r="L377" s="3">
        <v>201</v>
      </c>
      <c r="M377" s="3">
        <v>235</v>
      </c>
      <c r="N377" s="3">
        <v>663</v>
      </c>
      <c r="O377" s="3">
        <v>356</v>
      </c>
      <c r="P377" s="3">
        <v>22175</v>
      </c>
      <c r="Q377" s="3">
        <v>2686</v>
      </c>
      <c r="R377" s="4">
        <v>10.050000000000001</v>
      </c>
      <c r="S377" s="6">
        <f>GlowNestSocialTable3[[#This Row],[Link Clicks]]/GlowNestSocialTable3[[#This Row],[Reach]]</f>
        <v>1.3318867148041454E-2</v>
      </c>
    </row>
    <row r="378" spans="1:19">
      <c r="A378" t="s">
        <v>414</v>
      </c>
      <c r="B378" s="2">
        <v>45885</v>
      </c>
      <c r="C378" t="s">
        <v>19</v>
      </c>
      <c r="D378" t="s">
        <v>30</v>
      </c>
      <c r="E378" t="s">
        <v>49</v>
      </c>
      <c r="F378" t="s">
        <v>31</v>
      </c>
      <c r="G378" t="s">
        <v>23</v>
      </c>
      <c r="H378" s="3">
        <v>75612</v>
      </c>
      <c r="I378" s="3">
        <v>23798</v>
      </c>
      <c r="J378" s="3">
        <v>21186</v>
      </c>
      <c r="K378" s="3">
        <v>863</v>
      </c>
      <c r="L378" s="3">
        <v>156</v>
      </c>
      <c r="M378" s="3">
        <v>78</v>
      </c>
      <c r="N378" s="3">
        <v>80</v>
      </c>
      <c r="O378" s="3">
        <v>175</v>
      </c>
      <c r="P378" s="3"/>
      <c r="Q378" s="3">
        <v>1177</v>
      </c>
      <c r="R378" s="4">
        <v>5.56</v>
      </c>
      <c r="S378" s="6">
        <f>GlowNestSocialTable3[[#This Row],[Link Clicks]]/GlowNestSocialTable3[[#This Row],[Reach]]</f>
        <v>8.26017181157368E-3</v>
      </c>
    </row>
    <row r="379" spans="1:19">
      <c r="A379" t="s">
        <v>415</v>
      </c>
      <c r="B379" s="2">
        <v>45885</v>
      </c>
      <c r="C379" t="s">
        <v>19</v>
      </c>
      <c r="D379" t="s">
        <v>30</v>
      </c>
      <c r="E379" t="s">
        <v>49</v>
      </c>
      <c r="F379" t="s">
        <v>28</v>
      </c>
      <c r="G379" t="s">
        <v>23</v>
      </c>
      <c r="H379" s="3">
        <v>72520</v>
      </c>
      <c r="I379" s="3">
        <v>29648</v>
      </c>
      <c r="J379" s="3">
        <v>26817</v>
      </c>
      <c r="K379" s="3">
        <v>889</v>
      </c>
      <c r="L379" s="3">
        <v>95</v>
      </c>
      <c r="M379" s="3">
        <v>134</v>
      </c>
      <c r="N379" s="3">
        <v>162</v>
      </c>
      <c r="O379" s="3">
        <v>201</v>
      </c>
      <c r="P379" s="3"/>
      <c r="Q379" s="3">
        <v>1280</v>
      </c>
      <c r="R379" s="4">
        <v>4.7699999999999996</v>
      </c>
      <c r="S379" s="6">
        <f>GlowNestSocialTable3[[#This Row],[Link Clicks]]/GlowNestSocialTable3[[#This Row],[Reach]]</f>
        <v>7.4952455531938694E-3</v>
      </c>
    </row>
    <row r="380" spans="1:19">
      <c r="A380" t="s">
        <v>416</v>
      </c>
      <c r="B380" s="2">
        <v>45886</v>
      </c>
      <c r="C380" t="s">
        <v>19</v>
      </c>
      <c r="D380" t="s">
        <v>20</v>
      </c>
      <c r="E380" t="s">
        <v>25</v>
      </c>
      <c r="F380" t="s">
        <v>42</v>
      </c>
      <c r="G380" t="s">
        <v>23</v>
      </c>
      <c r="H380" s="3">
        <v>72730</v>
      </c>
      <c r="I380" s="3">
        <v>33585</v>
      </c>
      <c r="J380" s="3">
        <v>30977</v>
      </c>
      <c r="K380" s="3">
        <v>1298</v>
      </c>
      <c r="L380" s="3">
        <v>226</v>
      </c>
      <c r="M380" s="3">
        <v>191</v>
      </c>
      <c r="N380" s="3"/>
      <c r="O380" s="3">
        <v>270</v>
      </c>
      <c r="P380" s="3">
        <v>21573</v>
      </c>
      <c r="Q380" s="3">
        <v>1812</v>
      </c>
      <c r="R380" s="4">
        <v>5.85</v>
      </c>
      <c r="S380" s="6">
        <f>GlowNestSocialTable3[[#This Row],[Link Clicks]]/GlowNestSocialTable3[[#This Row],[Reach]]</f>
        <v>8.7161442360460979E-3</v>
      </c>
    </row>
    <row r="381" spans="1:19">
      <c r="A381" t="s">
        <v>417</v>
      </c>
      <c r="B381" s="2">
        <v>45887</v>
      </c>
      <c r="C381" t="s">
        <v>19</v>
      </c>
      <c r="D381" t="s">
        <v>30</v>
      </c>
      <c r="E381" t="s">
        <v>49</v>
      </c>
      <c r="F381" t="s">
        <v>28</v>
      </c>
      <c r="G381" t="s">
        <v>23</v>
      </c>
      <c r="H381" s="3">
        <v>73068</v>
      </c>
      <c r="I381" s="3">
        <v>30694</v>
      </c>
      <c r="J381" s="3">
        <v>23059</v>
      </c>
      <c r="K381" s="3">
        <v>950</v>
      </c>
      <c r="L381" s="3">
        <v>105</v>
      </c>
      <c r="M381" s="3">
        <v>135</v>
      </c>
      <c r="N381" s="3">
        <v>61</v>
      </c>
      <c r="O381" s="3">
        <v>156</v>
      </c>
      <c r="P381" s="3"/>
      <c r="Q381" s="3">
        <v>1251</v>
      </c>
      <c r="R381" s="4">
        <v>5.43</v>
      </c>
      <c r="S381" s="6">
        <f>GlowNestSocialTable3[[#This Row],[Link Clicks]]/GlowNestSocialTable3[[#This Row],[Reach]]</f>
        <v>6.765254347543259E-3</v>
      </c>
    </row>
    <row r="382" spans="1:19">
      <c r="A382" t="s">
        <v>418</v>
      </c>
      <c r="B382" s="2">
        <v>45887</v>
      </c>
      <c r="C382" t="s">
        <v>33</v>
      </c>
      <c r="D382" t="s">
        <v>30</v>
      </c>
      <c r="E382" t="s">
        <v>49</v>
      </c>
      <c r="F382" t="s">
        <v>31</v>
      </c>
      <c r="G382" t="s">
        <v>23</v>
      </c>
      <c r="H382" s="3">
        <v>35335</v>
      </c>
      <c r="I382" s="3">
        <v>9677</v>
      </c>
      <c r="J382" s="3">
        <v>7468</v>
      </c>
      <c r="K382" s="3">
        <v>173</v>
      </c>
      <c r="L382" s="3">
        <v>20</v>
      </c>
      <c r="M382" s="3">
        <v>24</v>
      </c>
      <c r="N382" s="3">
        <v>10</v>
      </c>
      <c r="O382" s="3">
        <v>67</v>
      </c>
      <c r="P382" s="3"/>
      <c r="Q382" s="3">
        <v>227</v>
      </c>
      <c r="R382" s="4">
        <v>3.04</v>
      </c>
      <c r="S382" s="6">
        <f>GlowNestSocialTable3[[#This Row],[Link Clicks]]/GlowNestSocialTable3[[#This Row],[Reach]]</f>
        <v>8.9716122121049815E-3</v>
      </c>
    </row>
    <row r="383" spans="1:19">
      <c r="A383" t="s">
        <v>419</v>
      </c>
      <c r="B383" s="2">
        <v>45888</v>
      </c>
      <c r="C383" t="s">
        <v>19</v>
      </c>
      <c r="D383" t="s">
        <v>37</v>
      </c>
      <c r="E383" t="s">
        <v>21</v>
      </c>
      <c r="F383" t="s">
        <v>31</v>
      </c>
      <c r="G383" t="s">
        <v>23</v>
      </c>
      <c r="H383" s="3">
        <v>72264</v>
      </c>
      <c r="I383" s="3">
        <v>24309</v>
      </c>
      <c r="J383" s="3">
        <v>19656</v>
      </c>
      <c r="K383" s="3">
        <v>745</v>
      </c>
      <c r="L383" s="3">
        <v>141</v>
      </c>
      <c r="M383" s="3">
        <v>92</v>
      </c>
      <c r="N383" s="3">
        <v>150</v>
      </c>
      <c r="O383" s="3">
        <v>217</v>
      </c>
      <c r="P383" s="3"/>
      <c r="Q383" s="3">
        <v>1128</v>
      </c>
      <c r="R383" s="4">
        <v>5.74</v>
      </c>
      <c r="S383" s="6">
        <f>GlowNestSocialTable3[[#This Row],[Link Clicks]]/GlowNestSocialTable3[[#This Row],[Reach]]</f>
        <v>1.1039886039886039E-2</v>
      </c>
    </row>
    <row r="384" spans="1:19">
      <c r="A384" t="s">
        <v>420</v>
      </c>
      <c r="B384" s="2">
        <v>45888</v>
      </c>
      <c r="C384" t="s">
        <v>36</v>
      </c>
      <c r="D384" t="s">
        <v>30</v>
      </c>
      <c r="E384" t="s">
        <v>27</v>
      </c>
      <c r="F384" t="s">
        <v>22</v>
      </c>
      <c r="G384" t="s">
        <v>23</v>
      </c>
      <c r="H384" s="3">
        <v>87799</v>
      </c>
      <c r="I384" s="3">
        <v>33865</v>
      </c>
      <c r="J384" s="3">
        <v>29713</v>
      </c>
      <c r="K384" s="3">
        <v>526</v>
      </c>
      <c r="L384" s="3">
        <v>65</v>
      </c>
      <c r="M384" s="3">
        <v>81</v>
      </c>
      <c r="N384" s="3">
        <v>112</v>
      </c>
      <c r="O384" s="3">
        <v>129</v>
      </c>
      <c r="P384" s="3"/>
      <c r="Q384" s="3">
        <v>784</v>
      </c>
      <c r="R384" s="4">
        <v>2.64</v>
      </c>
      <c r="S384" s="6">
        <f>GlowNestSocialTable3[[#This Row],[Link Clicks]]/GlowNestSocialTable3[[#This Row],[Reach]]</f>
        <v>4.3415340086830683E-3</v>
      </c>
    </row>
    <row r="385" spans="1:19">
      <c r="A385" t="s">
        <v>421</v>
      </c>
      <c r="B385" s="2">
        <v>45889</v>
      </c>
      <c r="C385" t="s">
        <v>19</v>
      </c>
      <c r="D385" t="s">
        <v>37</v>
      </c>
      <c r="E385" t="s">
        <v>25</v>
      </c>
      <c r="F385" t="s">
        <v>22</v>
      </c>
      <c r="G385" t="s">
        <v>23</v>
      </c>
      <c r="H385" s="3">
        <v>72730</v>
      </c>
      <c r="I385" s="3">
        <v>32506</v>
      </c>
      <c r="J385" s="3">
        <v>22146</v>
      </c>
      <c r="K385" s="3">
        <v>562</v>
      </c>
      <c r="L385" s="3">
        <v>85</v>
      </c>
      <c r="M385" s="3">
        <v>55</v>
      </c>
      <c r="N385" s="3">
        <v>122</v>
      </c>
      <c r="O385" s="3">
        <v>245</v>
      </c>
      <c r="P385" s="3"/>
      <c r="Q385" s="3">
        <v>824</v>
      </c>
      <c r="R385" s="4">
        <v>3.72</v>
      </c>
      <c r="S385" s="6">
        <f>GlowNestSocialTable3[[#This Row],[Link Clicks]]/GlowNestSocialTable3[[#This Row],[Reach]]</f>
        <v>1.1062945904452271E-2</v>
      </c>
    </row>
    <row r="386" spans="1:19">
      <c r="A386" t="s">
        <v>422</v>
      </c>
      <c r="B386" s="2">
        <v>45890</v>
      </c>
      <c r="C386" t="s">
        <v>36</v>
      </c>
      <c r="D386" t="s">
        <v>37</v>
      </c>
      <c r="E386" t="s">
        <v>27</v>
      </c>
      <c r="F386" t="s">
        <v>44</v>
      </c>
      <c r="G386" t="s">
        <v>23</v>
      </c>
      <c r="H386" s="3">
        <v>89919</v>
      </c>
      <c r="I386" s="3">
        <v>70035</v>
      </c>
      <c r="J386" s="3">
        <v>46158</v>
      </c>
      <c r="K386" s="3">
        <v>990</v>
      </c>
      <c r="L386" s="3">
        <v>117</v>
      </c>
      <c r="M386" s="3">
        <v>98</v>
      </c>
      <c r="N386" s="3">
        <v>352</v>
      </c>
      <c r="O386" s="3">
        <v>294</v>
      </c>
      <c r="P386" s="3"/>
      <c r="Q386" s="3">
        <v>1557</v>
      </c>
      <c r="R386" s="4">
        <v>3.37</v>
      </c>
      <c r="S386" s="6">
        <f>GlowNestSocialTable3[[#This Row],[Link Clicks]]/GlowNestSocialTable3[[#This Row],[Reach]]</f>
        <v>6.369426751592357E-3</v>
      </c>
    </row>
    <row r="387" spans="1:19">
      <c r="A387" t="s">
        <v>423</v>
      </c>
      <c r="B387" s="2">
        <v>45890</v>
      </c>
      <c r="C387" t="s">
        <v>36</v>
      </c>
      <c r="D387" t="s">
        <v>20</v>
      </c>
      <c r="E387" t="s">
        <v>25</v>
      </c>
      <c r="F387" t="s">
        <v>31</v>
      </c>
      <c r="G387" t="s">
        <v>23</v>
      </c>
      <c r="H387" s="3">
        <v>87266</v>
      </c>
      <c r="I387" s="3">
        <v>68267</v>
      </c>
      <c r="J387" s="3">
        <v>50180</v>
      </c>
      <c r="K387" s="3">
        <v>714</v>
      </c>
      <c r="L387" s="3">
        <v>128</v>
      </c>
      <c r="M387" s="3">
        <v>111</v>
      </c>
      <c r="N387" s="3">
        <v>49</v>
      </c>
      <c r="O387" s="3">
        <v>170</v>
      </c>
      <c r="P387" s="3">
        <v>28311</v>
      </c>
      <c r="Q387" s="3">
        <v>1002</v>
      </c>
      <c r="R387" s="4">
        <v>2</v>
      </c>
      <c r="S387" s="6">
        <f>GlowNestSocialTable3[[#This Row],[Link Clicks]]/GlowNestSocialTable3[[#This Row],[Reach]]</f>
        <v>3.387803905938621E-3</v>
      </c>
    </row>
    <row r="388" spans="1:19">
      <c r="A388" t="s">
        <v>424</v>
      </c>
      <c r="B388" s="2">
        <v>45891</v>
      </c>
      <c r="C388" t="s">
        <v>19</v>
      </c>
      <c r="D388" t="s">
        <v>37</v>
      </c>
      <c r="E388" t="s">
        <v>25</v>
      </c>
      <c r="F388" t="s">
        <v>44</v>
      </c>
      <c r="G388" t="s">
        <v>23</v>
      </c>
      <c r="H388" s="3">
        <v>73897</v>
      </c>
      <c r="I388" s="3">
        <v>37630</v>
      </c>
      <c r="J388" s="3">
        <v>24632</v>
      </c>
      <c r="K388" s="3">
        <v>703</v>
      </c>
      <c r="L388" s="3">
        <v>95</v>
      </c>
      <c r="M388" s="3">
        <v>74</v>
      </c>
      <c r="N388" s="3">
        <v>165</v>
      </c>
      <c r="O388" s="3">
        <v>246</v>
      </c>
      <c r="P388" s="3"/>
      <c r="Q388" s="3">
        <v>1037</v>
      </c>
      <c r="R388" s="4">
        <v>4.21</v>
      </c>
      <c r="S388" s="6">
        <f>GlowNestSocialTable3[[#This Row],[Link Clicks]]/GlowNestSocialTable3[[#This Row],[Reach]]</f>
        <v>9.9870087690808705E-3</v>
      </c>
    </row>
    <row r="389" spans="1:19">
      <c r="A389" t="s">
        <v>425</v>
      </c>
      <c r="B389" s="2">
        <v>45891</v>
      </c>
      <c r="C389" t="s">
        <v>19</v>
      </c>
      <c r="D389" t="s">
        <v>20</v>
      </c>
      <c r="E389" t="s">
        <v>49</v>
      </c>
      <c r="F389" t="s">
        <v>22</v>
      </c>
      <c r="G389" t="s">
        <v>23</v>
      </c>
      <c r="H389" s="3">
        <v>72420</v>
      </c>
      <c r="I389" s="3">
        <v>47551</v>
      </c>
      <c r="J389" s="3">
        <v>34611</v>
      </c>
      <c r="K389" s="3">
        <v>2170</v>
      </c>
      <c r="L389" s="3">
        <v>305</v>
      </c>
      <c r="M389" s="3">
        <v>329</v>
      </c>
      <c r="N389" s="3">
        <v>196</v>
      </c>
      <c r="O389" s="3">
        <v>281</v>
      </c>
      <c r="P389" s="3">
        <v>26448</v>
      </c>
      <c r="Q389" s="3">
        <v>3000</v>
      </c>
      <c r="R389" s="4">
        <v>8.67</v>
      </c>
      <c r="S389" s="6">
        <f>GlowNestSocialTable3[[#This Row],[Link Clicks]]/GlowNestSocialTable3[[#This Row],[Reach]]</f>
        <v>8.1188061598913633E-3</v>
      </c>
    </row>
    <row r="390" spans="1:19">
      <c r="A390" t="s">
        <v>426</v>
      </c>
      <c r="B390" s="2">
        <v>45892</v>
      </c>
      <c r="C390" t="s">
        <v>33</v>
      </c>
      <c r="D390" t="s">
        <v>34</v>
      </c>
      <c r="E390" t="s">
        <v>25</v>
      </c>
      <c r="F390" t="s">
        <v>22</v>
      </c>
      <c r="G390" t="s">
        <v>23</v>
      </c>
      <c r="H390" s="3">
        <v>34895</v>
      </c>
      <c r="I390" s="3">
        <v>8388</v>
      </c>
      <c r="J390" s="3">
        <v>7222</v>
      </c>
      <c r="K390" s="3">
        <v>106</v>
      </c>
      <c r="L390" s="3">
        <v>17</v>
      </c>
      <c r="M390" s="3">
        <v>11</v>
      </c>
      <c r="N390" s="3">
        <v>10</v>
      </c>
      <c r="O390" s="3">
        <v>104</v>
      </c>
      <c r="P390" s="3"/>
      <c r="Q390" s="3">
        <v>144</v>
      </c>
      <c r="R390" s="4">
        <v>1.99</v>
      </c>
      <c r="S390" s="6">
        <f>GlowNestSocialTable3[[#This Row],[Link Clicks]]/GlowNestSocialTable3[[#This Row],[Reach]]</f>
        <v>1.4400443090556632E-2</v>
      </c>
    </row>
    <row r="391" spans="1:19">
      <c r="A391" t="s">
        <v>427</v>
      </c>
      <c r="B391" s="2">
        <v>45893</v>
      </c>
      <c r="C391" t="s">
        <v>19</v>
      </c>
      <c r="D391" t="s">
        <v>20</v>
      </c>
      <c r="E391" t="s">
        <v>21</v>
      </c>
      <c r="F391" t="s">
        <v>28</v>
      </c>
      <c r="G391" t="s">
        <v>23</v>
      </c>
      <c r="H391" s="3">
        <v>73475</v>
      </c>
      <c r="I391" s="3">
        <v>33037</v>
      </c>
      <c r="J391" s="3">
        <v>28571</v>
      </c>
      <c r="K391" s="3">
        <v>1245</v>
      </c>
      <c r="L391" s="3">
        <v>142</v>
      </c>
      <c r="M391" s="3">
        <v>205</v>
      </c>
      <c r="N391" s="3">
        <v>216</v>
      </c>
      <c r="O391" s="3">
        <v>374</v>
      </c>
      <c r="P391" s="3">
        <v>18844</v>
      </c>
      <c r="Q391" s="3">
        <v>1808</v>
      </c>
      <c r="R391" s="4">
        <v>6.33</v>
      </c>
      <c r="S391" s="6">
        <f>GlowNestSocialTable3[[#This Row],[Link Clicks]]/GlowNestSocialTable3[[#This Row],[Reach]]</f>
        <v>1.3090196352945295E-2</v>
      </c>
    </row>
    <row r="392" spans="1:19">
      <c r="A392" t="s">
        <v>428</v>
      </c>
      <c r="B392" s="2">
        <v>45893</v>
      </c>
      <c r="C392" t="s">
        <v>19</v>
      </c>
      <c r="D392" t="s">
        <v>20</v>
      </c>
      <c r="E392" t="s">
        <v>25</v>
      </c>
      <c r="F392" t="s">
        <v>31</v>
      </c>
      <c r="G392" t="s">
        <v>23</v>
      </c>
      <c r="H392" s="3">
        <v>73089</v>
      </c>
      <c r="I392" s="3">
        <v>45040</v>
      </c>
      <c r="J392" s="3">
        <v>34350</v>
      </c>
      <c r="K392" s="3">
        <v>1215</v>
      </c>
      <c r="L392" s="3">
        <v>200</v>
      </c>
      <c r="M392" s="3">
        <v>127</v>
      </c>
      <c r="N392" s="3">
        <v>76</v>
      </c>
      <c r="O392" s="3">
        <v>281</v>
      </c>
      <c r="P392" s="3">
        <v>30391</v>
      </c>
      <c r="Q392" s="3">
        <v>1618</v>
      </c>
      <c r="R392" s="4">
        <v>4.71</v>
      </c>
      <c r="S392" s="6">
        <f>GlowNestSocialTable3[[#This Row],[Link Clicks]]/GlowNestSocialTable3[[#This Row],[Reach]]</f>
        <v>8.1804949053857351E-3</v>
      </c>
    </row>
    <row r="393" spans="1:19">
      <c r="A393" t="s">
        <v>429</v>
      </c>
      <c r="B393" s="2">
        <v>45894</v>
      </c>
      <c r="C393" t="s">
        <v>19</v>
      </c>
      <c r="D393" t="s">
        <v>37</v>
      </c>
      <c r="E393" t="s">
        <v>25</v>
      </c>
      <c r="F393" t="s">
        <v>44</v>
      </c>
      <c r="G393" t="s">
        <v>23</v>
      </c>
      <c r="H393" s="3">
        <v>74969</v>
      </c>
      <c r="I393" s="3">
        <v>27724</v>
      </c>
      <c r="J393" s="3">
        <v>22738</v>
      </c>
      <c r="K393" s="3">
        <v>606</v>
      </c>
      <c r="L393" s="3">
        <v>58</v>
      </c>
      <c r="M393" s="3">
        <v>82</v>
      </c>
      <c r="N393" s="3">
        <v>71</v>
      </c>
      <c r="O393" s="3">
        <v>183</v>
      </c>
      <c r="P393" s="3"/>
      <c r="Q393" s="3">
        <v>817</v>
      </c>
      <c r="R393" s="4">
        <v>3.59</v>
      </c>
      <c r="S393" s="6">
        <f>GlowNestSocialTable3[[#This Row],[Link Clicks]]/GlowNestSocialTable3[[#This Row],[Reach]]</f>
        <v>8.0482012490104664E-3</v>
      </c>
    </row>
    <row r="394" spans="1:19">
      <c r="A394" t="s">
        <v>430</v>
      </c>
      <c r="B394" s="2">
        <v>45894</v>
      </c>
      <c r="C394" t="s">
        <v>19</v>
      </c>
      <c r="D394" t="s">
        <v>30</v>
      </c>
      <c r="E394" t="s">
        <v>25</v>
      </c>
      <c r="F394" t="s">
        <v>42</v>
      </c>
      <c r="G394" t="s">
        <v>38</v>
      </c>
      <c r="H394" s="3">
        <v>72837</v>
      </c>
      <c r="I394" s="3">
        <v>36806</v>
      </c>
      <c r="J394" s="3">
        <v>27721</v>
      </c>
      <c r="K394" s="3">
        <v>561</v>
      </c>
      <c r="L394" s="3">
        <v>96</v>
      </c>
      <c r="M394" s="3">
        <v>56</v>
      </c>
      <c r="N394" s="3">
        <v>23</v>
      </c>
      <c r="O394" s="3">
        <v>230</v>
      </c>
      <c r="P394" s="3"/>
      <c r="Q394" s="3">
        <v>736</v>
      </c>
      <c r="R394" s="4">
        <v>2.66</v>
      </c>
      <c r="S394" s="6">
        <f>GlowNestSocialTable3[[#This Row],[Link Clicks]]/GlowNestSocialTable3[[#This Row],[Reach]]</f>
        <v>8.2969589841636309E-3</v>
      </c>
    </row>
    <row r="395" spans="1:19">
      <c r="A395" t="s">
        <v>431</v>
      </c>
      <c r="B395" s="2">
        <v>45895</v>
      </c>
      <c r="C395" t="s">
        <v>36</v>
      </c>
      <c r="D395" t="s">
        <v>30</v>
      </c>
      <c r="E395" t="s">
        <v>49</v>
      </c>
      <c r="F395" t="s">
        <v>31</v>
      </c>
      <c r="G395" t="s">
        <v>38</v>
      </c>
      <c r="H395" s="3">
        <v>87383</v>
      </c>
      <c r="I395" s="3">
        <v>69908</v>
      </c>
      <c r="J395" s="3">
        <v>47525</v>
      </c>
      <c r="K395" s="3">
        <v>630</v>
      </c>
      <c r="L395" s="3">
        <v>110</v>
      </c>
      <c r="M395" s="3">
        <v>69</v>
      </c>
      <c r="N395" s="3">
        <v>110</v>
      </c>
      <c r="O395" s="3">
        <v>149</v>
      </c>
      <c r="P395" s="3"/>
      <c r="Q395" s="3">
        <v>919</v>
      </c>
      <c r="R395" s="4">
        <v>1.93</v>
      </c>
      <c r="S395" s="6">
        <f>GlowNestSocialTable3[[#This Row],[Link Clicks]]/GlowNestSocialTable3[[#This Row],[Reach]]</f>
        <v>3.1351920042083114E-3</v>
      </c>
    </row>
    <row r="396" spans="1:19">
      <c r="A396" t="s">
        <v>432</v>
      </c>
      <c r="B396" s="2">
        <v>45896</v>
      </c>
      <c r="C396" t="s">
        <v>19</v>
      </c>
      <c r="D396" t="s">
        <v>30</v>
      </c>
      <c r="E396" t="s">
        <v>46</v>
      </c>
      <c r="F396" t="s">
        <v>28</v>
      </c>
      <c r="G396" t="s">
        <v>38</v>
      </c>
      <c r="H396" s="3">
        <v>71453</v>
      </c>
      <c r="I396" s="3">
        <v>29880</v>
      </c>
      <c r="J396" s="3">
        <v>24024</v>
      </c>
      <c r="K396" s="3">
        <v>782</v>
      </c>
      <c r="L396" s="3">
        <v>78</v>
      </c>
      <c r="M396" s="3">
        <v>93</v>
      </c>
      <c r="N396" s="3">
        <v>126</v>
      </c>
      <c r="O396" s="3">
        <v>240</v>
      </c>
      <c r="P396" s="3"/>
      <c r="Q396" s="3">
        <v>1079</v>
      </c>
      <c r="R396" s="4">
        <v>4.49</v>
      </c>
      <c r="S396" s="6">
        <f>GlowNestSocialTable3[[#This Row],[Link Clicks]]/GlowNestSocialTable3[[#This Row],[Reach]]</f>
        <v>9.99000999000999E-3</v>
      </c>
    </row>
    <row r="397" spans="1:19">
      <c r="A397" t="s">
        <v>433</v>
      </c>
      <c r="B397" s="2">
        <v>45896</v>
      </c>
      <c r="C397" t="s">
        <v>19</v>
      </c>
      <c r="D397" t="s">
        <v>20</v>
      </c>
      <c r="E397" t="s">
        <v>46</v>
      </c>
      <c r="F397" t="s">
        <v>42</v>
      </c>
      <c r="G397" t="s">
        <v>23</v>
      </c>
      <c r="H397" s="3">
        <v>74032</v>
      </c>
      <c r="I397" s="3">
        <v>45007</v>
      </c>
      <c r="J397" s="3">
        <v>30926</v>
      </c>
      <c r="K397" s="3">
        <v>1197</v>
      </c>
      <c r="L397" s="3">
        <v>162</v>
      </c>
      <c r="M397" s="3">
        <v>192</v>
      </c>
      <c r="N397" s="3">
        <v>292</v>
      </c>
      <c r="O397" s="3">
        <v>440</v>
      </c>
      <c r="P397" s="3">
        <v>27465</v>
      </c>
      <c r="Q397" s="3">
        <v>1843</v>
      </c>
      <c r="R397" s="4">
        <v>5.96</v>
      </c>
      <c r="S397" s="6">
        <f>GlowNestSocialTable3[[#This Row],[Link Clicks]]/GlowNestSocialTable3[[#This Row],[Reach]]</f>
        <v>1.4227510832309383E-2</v>
      </c>
    </row>
    <row r="398" spans="1:19">
      <c r="A398" t="s">
        <v>434</v>
      </c>
      <c r="B398" s="2">
        <v>45897</v>
      </c>
      <c r="C398" t="s">
        <v>19</v>
      </c>
      <c r="D398" t="s">
        <v>30</v>
      </c>
      <c r="E398" t="s">
        <v>27</v>
      </c>
      <c r="F398" t="s">
        <v>31</v>
      </c>
      <c r="G398" t="s">
        <v>23</v>
      </c>
      <c r="H398" s="3">
        <v>70973</v>
      </c>
      <c r="I398" s="3">
        <v>32603</v>
      </c>
      <c r="J398" s="3">
        <v>29851</v>
      </c>
      <c r="K398" s="3">
        <v>946</v>
      </c>
      <c r="L398" s="3">
        <v>103</v>
      </c>
      <c r="M398" s="3">
        <v>136</v>
      </c>
      <c r="N398" s="3">
        <v>209</v>
      </c>
      <c r="O398" s="3">
        <v>396</v>
      </c>
      <c r="P398" s="3"/>
      <c r="Q398" s="3">
        <v>1394</v>
      </c>
      <c r="R398" s="4">
        <v>4.67</v>
      </c>
      <c r="S398" s="6">
        <f>GlowNestSocialTable3[[#This Row],[Link Clicks]]/GlowNestSocialTable3[[#This Row],[Reach]]</f>
        <v>1.326588723995846E-2</v>
      </c>
    </row>
    <row r="399" spans="1:19">
      <c r="A399" t="s">
        <v>435</v>
      </c>
      <c r="B399" s="2">
        <v>45898</v>
      </c>
      <c r="C399" t="s">
        <v>33</v>
      </c>
      <c r="D399" t="s">
        <v>37</v>
      </c>
      <c r="E399" t="s">
        <v>49</v>
      </c>
      <c r="F399" t="s">
        <v>28</v>
      </c>
      <c r="G399" t="s">
        <v>38</v>
      </c>
      <c r="H399" s="3">
        <v>35312</v>
      </c>
      <c r="I399" s="3">
        <v>20407</v>
      </c>
      <c r="J399" s="3">
        <v>15236</v>
      </c>
      <c r="K399" s="3">
        <v>542</v>
      </c>
      <c r="L399" s="3">
        <v>92</v>
      </c>
      <c r="M399" s="3">
        <v>71</v>
      </c>
      <c r="N399" s="3">
        <v>25</v>
      </c>
      <c r="O399" s="3">
        <v>191</v>
      </c>
      <c r="P399" s="3"/>
      <c r="Q399" s="3">
        <v>730</v>
      </c>
      <c r="R399" s="4">
        <v>4.79</v>
      </c>
      <c r="S399" s="6">
        <f>GlowNestSocialTable3[[#This Row],[Link Clicks]]/GlowNestSocialTable3[[#This Row],[Reach]]</f>
        <v>1.2536098713573116E-2</v>
      </c>
    </row>
    <row r="400" spans="1:19">
      <c r="A400" t="s">
        <v>436</v>
      </c>
      <c r="B400" s="2">
        <v>45898</v>
      </c>
      <c r="C400" t="s">
        <v>36</v>
      </c>
      <c r="D400" t="s">
        <v>37</v>
      </c>
      <c r="E400" t="s">
        <v>46</v>
      </c>
      <c r="F400" t="s">
        <v>44</v>
      </c>
      <c r="G400" t="s">
        <v>23</v>
      </c>
      <c r="H400" s="3">
        <v>89192</v>
      </c>
      <c r="I400" s="3">
        <v>52804</v>
      </c>
      <c r="J400" s="3">
        <v>41201</v>
      </c>
      <c r="K400" s="3">
        <v>632</v>
      </c>
      <c r="L400" s="3">
        <v>127</v>
      </c>
      <c r="M400" s="3">
        <v>66</v>
      </c>
      <c r="N400" s="3">
        <v>198</v>
      </c>
      <c r="O400" s="3">
        <v>200</v>
      </c>
      <c r="P400" s="3"/>
      <c r="Q400" s="3">
        <v>1023</v>
      </c>
      <c r="R400" s="4">
        <v>2.48</v>
      </c>
      <c r="S400" s="6">
        <f>GlowNestSocialTable3[[#This Row],[Link Clicks]]/GlowNestSocialTable3[[#This Row],[Reach]]</f>
        <v>4.8542511104099411E-3</v>
      </c>
    </row>
    <row r="401" spans="1:19">
      <c r="A401" t="s">
        <v>437</v>
      </c>
      <c r="B401" s="2">
        <v>45899</v>
      </c>
      <c r="C401" t="s">
        <v>33</v>
      </c>
      <c r="D401" t="s">
        <v>37</v>
      </c>
      <c r="E401" t="s">
        <v>25</v>
      </c>
      <c r="F401" t="s">
        <v>31</v>
      </c>
      <c r="G401" t="s">
        <v>23</v>
      </c>
      <c r="H401" s="3">
        <v>34276</v>
      </c>
      <c r="I401" s="3">
        <v>9188</v>
      </c>
      <c r="J401" s="3">
        <v>7763</v>
      </c>
      <c r="K401" s="3">
        <v>121</v>
      </c>
      <c r="L401" s="3">
        <v>17</v>
      </c>
      <c r="M401" s="3">
        <v>21</v>
      </c>
      <c r="N401" s="3">
        <v>25</v>
      </c>
      <c r="O401" s="3">
        <v>66</v>
      </c>
      <c r="P401" s="3"/>
      <c r="Q401" s="3">
        <v>184</v>
      </c>
      <c r="R401" s="4">
        <v>2.37</v>
      </c>
      <c r="S401" s="6">
        <f>GlowNestSocialTable3[[#This Row],[Link Clicks]]/GlowNestSocialTable3[[#This Row],[Reach]]</f>
        <v>8.501867834600026E-3</v>
      </c>
    </row>
    <row r="402" spans="1:19">
      <c r="A402" t="s">
        <v>438</v>
      </c>
      <c r="B402" s="2">
        <v>45899</v>
      </c>
      <c r="C402" t="s">
        <v>19</v>
      </c>
      <c r="D402" t="s">
        <v>37</v>
      </c>
      <c r="E402" t="s">
        <v>46</v>
      </c>
      <c r="F402" t="s">
        <v>22</v>
      </c>
      <c r="G402" t="s">
        <v>23</v>
      </c>
      <c r="H402" s="3">
        <v>71628</v>
      </c>
      <c r="I402" s="3">
        <v>27662</v>
      </c>
      <c r="J402" s="3">
        <v>24782</v>
      </c>
      <c r="K402" s="3">
        <v>988</v>
      </c>
      <c r="L402" s="3">
        <v>171</v>
      </c>
      <c r="M402" s="3">
        <v>135</v>
      </c>
      <c r="N402" s="3">
        <v>235</v>
      </c>
      <c r="O402" s="3">
        <v>371</v>
      </c>
      <c r="P402" s="3"/>
      <c r="Q402" s="3">
        <v>1529</v>
      </c>
      <c r="R402" s="4">
        <v>6.17</v>
      </c>
      <c r="S402" s="6">
        <f>GlowNestSocialTable3[[#This Row],[Link Clicks]]/GlowNestSocialTable3[[#This Row],[Reach]]</f>
        <v>1.4970543136147204E-2</v>
      </c>
    </row>
    <row r="403" spans="1:19">
      <c r="A403" t="s">
        <v>439</v>
      </c>
      <c r="B403" s="2">
        <v>45900</v>
      </c>
      <c r="C403" t="s">
        <v>36</v>
      </c>
      <c r="D403" t="s">
        <v>30</v>
      </c>
      <c r="E403" t="s">
        <v>46</v>
      </c>
      <c r="F403" t="s">
        <v>22</v>
      </c>
      <c r="G403" t="s">
        <v>235</v>
      </c>
      <c r="H403" s="3">
        <v>90663</v>
      </c>
      <c r="I403" s="3">
        <v>36924</v>
      </c>
      <c r="J403" s="3">
        <v>28417</v>
      </c>
      <c r="K403" s="3">
        <v>350</v>
      </c>
      <c r="L403" s="3">
        <v>44</v>
      </c>
      <c r="M403" s="3">
        <v>35</v>
      </c>
      <c r="N403" s="3">
        <v>82</v>
      </c>
      <c r="O403" s="3">
        <v>159</v>
      </c>
      <c r="P403" s="3"/>
      <c r="Q403" s="3">
        <v>511</v>
      </c>
      <c r="R403" s="4">
        <v>1.8</v>
      </c>
      <c r="S403" s="6">
        <f>GlowNestSocialTable3[[#This Row],[Link Clicks]]/GlowNestSocialTable3[[#This Row],[Reach]]</f>
        <v>5.5952422845479818E-3</v>
      </c>
    </row>
    <row r="404" spans="1:19">
      <c r="A404" t="s">
        <v>440</v>
      </c>
      <c r="B404" s="2">
        <v>45901</v>
      </c>
      <c r="C404" t="s">
        <v>36</v>
      </c>
      <c r="D404" t="s">
        <v>37</v>
      </c>
      <c r="E404" t="s">
        <v>25</v>
      </c>
      <c r="F404" t="s">
        <v>22</v>
      </c>
      <c r="G404" t="s">
        <v>23</v>
      </c>
      <c r="H404" s="3">
        <v>87832</v>
      </c>
      <c r="I404" s="3">
        <v>46300</v>
      </c>
      <c r="J404" s="3">
        <v>33195</v>
      </c>
      <c r="K404" s="3">
        <v>352</v>
      </c>
      <c r="L404" s="3">
        <v>37</v>
      </c>
      <c r="M404" s="3">
        <v>50</v>
      </c>
      <c r="N404" s="3">
        <v>42</v>
      </c>
      <c r="O404" s="3">
        <v>136</v>
      </c>
      <c r="P404" s="3"/>
      <c r="Q404" s="3">
        <v>481</v>
      </c>
      <c r="R404" s="4">
        <v>1.45</v>
      </c>
      <c r="S404" s="6">
        <f>GlowNestSocialTable3[[#This Row],[Link Clicks]]/GlowNestSocialTable3[[#This Row],[Reach]]</f>
        <v>4.0970025606266005E-3</v>
      </c>
    </row>
    <row r="405" spans="1:19">
      <c r="A405" t="s">
        <v>441</v>
      </c>
      <c r="B405" s="2">
        <v>45901</v>
      </c>
      <c r="C405" t="s">
        <v>19</v>
      </c>
      <c r="D405" t="s">
        <v>30</v>
      </c>
      <c r="E405" t="s">
        <v>49</v>
      </c>
      <c r="F405" t="s">
        <v>28</v>
      </c>
      <c r="G405" t="s">
        <v>23</v>
      </c>
      <c r="H405" s="3">
        <v>73642</v>
      </c>
      <c r="I405" s="3">
        <v>25528</v>
      </c>
      <c r="J405" s="3">
        <v>17609</v>
      </c>
      <c r="K405" s="3">
        <v>556</v>
      </c>
      <c r="L405" s="3">
        <v>78</v>
      </c>
      <c r="M405" s="3">
        <v>47</v>
      </c>
      <c r="N405" s="3">
        <v>74</v>
      </c>
      <c r="O405" s="3">
        <v>139</v>
      </c>
      <c r="P405" s="3"/>
      <c r="Q405" s="3">
        <v>755</v>
      </c>
      <c r="R405" s="4">
        <v>4.29</v>
      </c>
      <c r="S405" s="6">
        <f>GlowNestSocialTable3[[#This Row],[Link Clicks]]/GlowNestSocialTable3[[#This Row],[Reach]]</f>
        <v>7.8936907263331257E-3</v>
      </c>
    </row>
    <row r="406" spans="1:19">
      <c r="A406" t="s">
        <v>442</v>
      </c>
      <c r="B406" s="2">
        <v>45902</v>
      </c>
      <c r="C406" t="s">
        <v>33</v>
      </c>
      <c r="D406" t="s">
        <v>30</v>
      </c>
      <c r="E406" t="s">
        <v>49</v>
      </c>
      <c r="F406" t="s">
        <v>42</v>
      </c>
      <c r="G406" t="s">
        <v>23</v>
      </c>
      <c r="H406" s="3">
        <v>33638</v>
      </c>
      <c r="I406" s="3">
        <v>7593</v>
      </c>
      <c r="J406" s="3">
        <v>6099</v>
      </c>
      <c r="K406" s="3">
        <v>140</v>
      </c>
      <c r="L406" s="3">
        <v>19</v>
      </c>
      <c r="M406" s="3">
        <v>17</v>
      </c>
      <c r="N406" s="3">
        <v>30</v>
      </c>
      <c r="O406" s="3">
        <v>54</v>
      </c>
      <c r="P406" s="3"/>
      <c r="Q406" s="3">
        <v>206</v>
      </c>
      <c r="R406" s="4">
        <v>3.38</v>
      </c>
      <c r="S406" s="6">
        <f>GlowNestSocialTable3[[#This Row],[Link Clicks]]/GlowNestSocialTable3[[#This Row],[Reach]]</f>
        <v>8.8539104771273979E-3</v>
      </c>
    </row>
    <row r="407" spans="1:19">
      <c r="A407" t="s">
        <v>443</v>
      </c>
      <c r="B407" s="2">
        <v>45902</v>
      </c>
      <c r="C407" t="s">
        <v>36</v>
      </c>
      <c r="D407" t="s">
        <v>30</v>
      </c>
      <c r="E407" t="s">
        <v>27</v>
      </c>
      <c r="F407" t="s">
        <v>31</v>
      </c>
      <c r="G407" t="s">
        <v>38</v>
      </c>
      <c r="H407" s="3">
        <v>90123</v>
      </c>
      <c r="I407" s="3">
        <v>52064</v>
      </c>
      <c r="J407" s="3">
        <v>46903</v>
      </c>
      <c r="K407" s="3">
        <v>678</v>
      </c>
      <c r="L407" s="3">
        <v>95</v>
      </c>
      <c r="M407" s="3">
        <v>112</v>
      </c>
      <c r="N407" s="3">
        <v>209</v>
      </c>
      <c r="O407" s="3">
        <v>223</v>
      </c>
      <c r="P407" s="3"/>
      <c r="Q407" s="3">
        <v>1094</v>
      </c>
      <c r="R407" s="4">
        <v>2.33</v>
      </c>
      <c r="S407" s="6">
        <f>GlowNestSocialTable3[[#This Row],[Link Clicks]]/GlowNestSocialTable3[[#This Row],[Reach]]</f>
        <v>4.7544933159925805E-3</v>
      </c>
    </row>
    <row r="408" spans="1:19">
      <c r="A408" t="s">
        <v>444</v>
      </c>
      <c r="B408" s="2">
        <v>45903</v>
      </c>
      <c r="C408" t="s">
        <v>33</v>
      </c>
      <c r="D408" t="s">
        <v>20</v>
      </c>
      <c r="E408" t="s">
        <v>46</v>
      </c>
      <c r="F408" t="s">
        <v>22</v>
      </c>
      <c r="G408" t="s">
        <v>38</v>
      </c>
      <c r="H408" s="3">
        <v>33025</v>
      </c>
      <c r="I408" s="3">
        <v>25840</v>
      </c>
      <c r="J408" s="3">
        <v>16731</v>
      </c>
      <c r="K408" s="3">
        <v>638</v>
      </c>
      <c r="L408" s="3">
        <v>106</v>
      </c>
      <c r="M408" s="3">
        <v>55</v>
      </c>
      <c r="N408" s="3">
        <v>150</v>
      </c>
      <c r="O408" s="3">
        <v>197</v>
      </c>
      <c r="P408" s="3">
        <v>13767</v>
      </c>
      <c r="Q408" s="3">
        <v>949</v>
      </c>
      <c r="R408" s="4">
        <v>5.67</v>
      </c>
      <c r="S408" s="6">
        <f>GlowNestSocialTable3[[#This Row],[Link Clicks]]/GlowNestSocialTable3[[#This Row],[Reach]]</f>
        <v>1.1774550236088697E-2</v>
      </c>
    </row>
    <row r="409" spans="1:19">
      <c r="A409" t="s">
        <v>445</v>
      </c>
      <c r="B409" s="2">
        <v>45904</v>
      </c>
      <c r="C409" t="s">
        <v>19</v>
      </c>
      <c r="D409" t="s">
        <v>30</v>
      </c>
      <c r="E409" t="s">
        <v>21</v>
      </c>
      <c r="F409" t="s">
        <v>44</v>
      </c>
      <c r="G409" t="s">
        <v>23</v>
      </c>
      <c r="H409" s="3">
        <v>74500</v>
      </c>
      <c r="I409" s="3">
        <v>29652</v>
      </c>
      <c r="J409" s="3">
        <v>22099</v>
      </c>
      <c r="K409" s="3">
        <v>582</v>
      </c>
      <c r="L409" s="3">
        <v>64</v>
      </c>
      <c r="M409" s="3">
        <v>58</v>
      </c>
      <c r="N409" s="3">
        <v>143</v>
      </c>
      <c r="O409" s="3">
        <v>240</v>
      </c>
      <c r="P409" s="3"/>
      <c r="Q409" s="3">
        <v>847</v>
      </c>
      <c r="R409" s="4">
        <v>3.83</v>
      </c>
      <c r="S409" s="6">
        <f>GlowNestSocialTable3[[#This Row],[Link Clicks]]/GlowNestSocialTable3[[#This Row],[Reach]]</f>
        <v>1.0860219919453368E-2</v>
      </c>
    </row>
    <row r="410" spans="1:19">
      <c r="A410" t="s">
        <v>446</v>
      </c>
      <c r="B410" s="2">
        <v>45904</v>
      </c>
      <c r="C410" t="s">
        <v>19</v>
      </c>
      <c r="D410" t="s">
        <v>37</v>
      </c>
      <c r="E410" t="s">
        <v>27</v>
      </c>
      <c r="F410" t="s">
        <v>28</v>
      </c>
      <c r="G410" t="s">
        <v>23</v>
      </c>
      <c r="H410" s="3">
        <v>73484</v>
      </c>
      <c r="I410" s="3">
        <v>37400</v>
      </c>
      <c r="J410" s="3">
        <v>26303</v>
      </c>
      <c r="K410" s="3">
        <v>1326</v>
      </c>
      <c r="L410" s="3">
        <v>182</v>
      </c>
      <c r="M410" s="3">
        <v>127</v>
      </c>
      <c r="N410" s="3">
        <v>721</v>
      </c>
      <c r="O410" s="3">
        <v>414</v>
      </c>
      <c r="P410" s="3"/>
      <c r="Q410" s="3">
        <v>2356</v>
      </c>
      <c r="R410" s="4">
        <v>8.9600000000000009</v>
      </c>
      <c r="S410" s="6">
        <f>GlowNestSocialTable3[[#This Row],[Link Clicks]]/GlowNestSocialTable3[[#This Row],[Reach]]</f>
        <v>1.5739649469642247E-2</v>
      </c>
    </row>
    <row r="411" spans="1:19">
      <c r="A411" t="s">
        <v>447</v>
      </c>
      <c r="B411" s="2">
        <v>45905</v>
      </c>
      <c r="C411" t="s">
        <v>19</v>
      </c>
      <c r="D411" t="s">
        <v>30</v>
      </c>
      <c r="E411" t="s">
        <v>49</v>
      </c>
      <c r="F411" t="s">
        <v>42</v>
      </c>
      <c r="G411" t="s">
        <v>23</v>
      </c>
      <c r="H411" s="3">
        <v>74663</v>
      </c>
      <c r="I411" s="3">
        <v>33717</v>
      </c>
      <c r="J411" s="3">
        <v>22074</v>
      </c>
      <c r="K411" s="3">
        <v>928</v>
      </c>
      <c r="L411" s="3">
        <v>113</v>
      </c>
      <c r="M411" s="3">
        <v>113</v>
      </c>
      <c r="N411" s="3">
        <v>72</v>
      </c>
      <c r="O411" s="3">
        <v>189</v>
      </c>
      <c r="P411" s="3"/>
      <c r="Q411" s="3">
        <v>1226</v>
      </c>
      <c r="R411" s="4">
        <v>5.55</v>
      </c>
      <c r="S411" s="6">
        <f>GlowNestSocialTable3[[#This Row],[Link Clicks]]/GlowNestSocialTable3[[#This Row],[Reach]]</f>
        <v>8.5621092688230489E-3</v>
      </c>
    </row>
    <row r="412" spans="1:19">
      <c r="A412" t="s">
        <v>448</v>
      </c>
      <c r="B412" s="2">
        <v>45905</v>
      </c>
      <c r="C412" t="s">
        <v>36</v>
      </c>
      <c r="D412" t="s">
        <v>34</v>
      </c>
      <c r="E412" t="s">
        <v>25</v>
      </c>
      <c r="F412" t="s">
        <v>44</v>
      </c>
      <c r="G412" t="s">
        <v>23</v>
      </c>
      <c r="H412" s="3">
        <v>87285</v>
      </c>
      <c r="I412" s="3">
        <v>47617</v>
      </c>
      <c r="J412" s="3">
        <v>30849</v>
      </c>
      <c r="K412" s="3">
        <v>224</v>
      </c>
      <c r="L412" s="3">
        <v>25</v>
      </c>
      <c r="M412" s="3">
        <v>31</v>
      </c>
      <c r="N412" s="3">
        <v>8</v>
      </c>
      <c r="O412" s="3">
        <v>101</v>
      </c>
      <c r="P412" s="3"/>
      <c r="Q412" s="3">
        <v>288</v>
      </c>
      <c r="R412" s="4">
        <v>0.93</v>
      </c>
      <c r="S412" s="6">
        <f>GlowNestSocialTable3[[#This Row],[Link Clicks]]/GlowNestSocialTable3[[#This Row],[Reach]]</f>
        <v>3.2740121235696456E-3</v>
      </c>
    </row>
    <row r="413" spans="1:19">
      <c r="A413" t="s">
        <v>449</v>
      </c>
      <c r="B413" s="2">
        <v>45906</v>
      </c>
      <c r="C413" t="s">
        <v>36</v>
      </c>
      <c r="D413" t="s">
        <v>34</v>
      </c>
      <c r="E413" t="s">
        <v>49</v>
      </c>
      <c r="F413" t="s">
        <v>31</v>
      </c>
      <c r="G413" t="s">
        <v>23</v>
      </c>
      <c r="H413" s="3">
        <v>89238</v>
      </c>
      <c r="I413" s="3">
        <v>44728</v>
      </c>
      <c r="J413" s="3">
        <v>37865</v>
      </c>
      <c r="K413" s="3">
        <v>490</v>
      </c>
      <c r="L413" s="3">
        <v>95</v>
      </c>
      <c r="M413" s="3">
        <v>85</v>
      </c>
      <c r="N413" s="3">
        <v>46</v>
      </c>
      <c r="O413" s="3">
        <v>184</v>
      </c>
      <c r="P413" s="3"/>
      <c r="Q413" s="3">
        <v>716</v>
      </c>
      <c r="R413" s="4">
        <v>1.89</v>
      </c>
      <c r="S413" s="6">
        <f>GlowNestSocialTable3[[#This Row],[Link Clicks]]/GlowNestSocialTable3[[#This Row],[Reach]]</f>
        <v>4.8593688102469296E-3</v>
      </c>
    </row>
    <row r="414" spans="1:19">
      <c r="A414" t="s">
        <v>450</v>
      </c>
      <c r="B414" s="2">
        <v>45907</v>
      </c>
      <c r="C414" t="s">
        <v>36</v>
      </c>
      <c r="D414" t="s">
        <v>30</v>
      </c>
      <c r="E414" t="s">
        <v>27</v>
      </c>
      <c r="F414" t="s">
        <v>42</v>
      </c>
      <c r="G414" t="s">
        <v>23</v>
      </c>
      <c r="H414" s="3">
        <v>87375</v>
      </c>
      <c r="I414" s="3">
        <v>52963</v>
      </c>
      <c r="J414" s="3">
        <v>36870</v>
      </c>
      <c r="K414" s="3">
        <v>532</v>
      </c>
      <c r="L414" s="3">
        <v>57</v>
      </c>
      <c r="M414" s="3">
        <v>84</v>
      </c>
      <c r="N414" s="3">
        <v>110</v>
      </c>
      <c r="O414" s="3">
        <v>235</v>
      </c>
      <c r="P414" s="3"/>
      <c r="Q414" s="3">
        <v>783</v>
      </c>
      <c r="R414" s="4">
        <v>2.12</v>
      </c>
      <c r="S414" s="6">
        <f>GlowNestSocialTable3[[#This Row],[Link Clicks]]/GlowNestSocialTable3[[#This Row],[Reach]]</f>
        <v>6.3737455926227288E-3</v>
      </c>
    </row>
    <row r="415" spans="1:19">
      <c r="A415" t="s">
        <v>451</v>
      </c>
      <c r="B415" s="2">
        <v>45907</v>
      </c>
      <c r="C415" t="s">
        <v>36</v>
      </c>
      <c r="D415" t="s">
        <v>20</v>
      </c>
      <c r="E415" t="s">
        <v>46</v>
      </c>
      <c r="F415" t="s">
        <v>42</v>
      </c>
      <c r="G415" t="s">
        <v>38</v>
      </c>
      <c r="H415" s="3">
        <v>90288</v>
      </c>
      <c r="I415" s="3">
        <v>110358</v>
      </c>
      <c r="J415" s="3">
        <v>80887</v>
      </c>
      <c r="K415" s="3">
        <v>1277</v>
      </c>
      <c r="L415" s="3">
        <v>200</v>
      </c>
      <c r="M415" s="3">
        <v>166</v>
      </c>
      <c r="N415" s="3">
        <v>148</v>
      </c>
      <c r="O415" s="3">
        <v>348</v>
      </c>
      <c r="P415" s="3">
        <v>60189</v>
      </c>
      <c r="Q415" s="3">
        <v>1791</v>
      </c>
      <c r="R415" s="4">
        <v>2.21</v>
      </c>
      <c r="S415" s="6">
        <f>GlowNestSocialTable3[[#This Row],[Link Clicks]]/GlowNestSocialTable3[[#This Row],[Reach]]</f>
        <v>4.3022982679540595E-3</v>
      </c>
    </row>
    <row r="416" spans="1:19">
      <c r="A416" t="s">
        <v>452</v>
      </c>
      <c r="B416" s="2">
        <v>45908</v>
      </c>
      <c r="C416" t="s">
        <v>19</v>
      </c>
      <c r="D416" t="s">
        <v>37</v>
      </c>
      <c r="E416" t="s">
        <v>27</v>
      </c>
      <c r="F416" t="s">
        <v>42</v>
      </c>
      <c r="G416" t="s">
        <v>23</v>
      </c>
      <c r="H416" s="3">
        <v>73206</v>
      </c>
      <c r="I416" s="3">
        <v>41100</v>
      </c>
      <c r="J416" s="3">
        <v>30594</v>
      </c>
      <c r="K416" s="3">
        <v>1330</v>
      </c>
      <c r="L416" s="3">
        <v>164</v>
      </c>
      <c r="M416" s="3">
        <v>181</v>
      </c>
      <c r="N416" s="3">
        <v>586</v>
      </c>
      <c r="O416" s="3">
        <v>314</v>
      </c>
      <c r="P416" s="3"/>
      <c r="Q416" s="3">
        <v>2261</v>
      </c>
      <c r="R416" s="4">
        <v>7.39</v>
      </c>
      <c r="S416" s="6">
        <f>GlowNestSocialTable3[[#This Row],[Link Clicks]]/GlowNestSocialTable3[[#This Row],[Reach]]</f>
        <v>1.0263450349741779E-2</v>
      </c>
    </row>
    <row r="417" spans="1:19">
      <c r="A417" t="s">
        <v>453</v>
      </c>
      <c r="B417" s="2">
        <v>45908</v>
      </c>
      <c r="C417" t="s">
        <v>19</v>
      </c>
      <c r="D417" t="s">
        <v>37</v>
      </c>
      <c r="E417" t="s">
        <v>21</v>
      </c>
      <c r="F417" t="s">
        <v>42</v>
      </c>
      <c r="G417" t="s">
        <v>38</v>
      </c>
      <c r="H417" s="3">
        <v>74655</v>
      </c>
      <c r="I417" s="3">
        <v>62377</v>
      </c>
      <c r="J417" s="3">
        <v>44073</v>
      </c>
      <c r="K417" s="3">
        <v>1985</v>
      </c>
      <c r="L417" s="3">
        <v>330</v>
      </c>
      <c r="M417" s="3">
        <v>338</v>
      </c>
      <c r="N417" s="3">
        <v>434</v>
      </c>
      <c r="O417" s="3">
        <v>518</v>
      </c>
      <c r="P417" s="3"/>
      <c r="Q417" s="3">
        <v>3087</v>
      </c>
      <c r="R417" s="4">
        <v>7</v>
      </c>
      <c r="S417" s="6">
        <f>GlowNestSocialTable3[[#This Row],[Link Clicks]]/GlowNestSocialTable3[[#This Row],[Reach]]</f>
        <v>1.1753227599664193E-2</v>
      </c>
    </row>
    <row r="418" spans="1:19">
      <c r="A418" t="s">
        <v>454</v>
      </c>
      <c r="B418" s="2">
        <v>45909</v>
      </c>
      <c r="C418" t="s">
        <v>36</v>
      </c>
      <c r="D418" t="s">
        <v>20</v>
      </c>
      <c r="E418" t="s">
        <v>21</v>
      </c>
      <c r="F418" t="s">
        <v>31</v>
      </c>
      <c r="G418" t="s">
        <v>38</v>
      </c>
      <c r="H418" s="3">
        <v>89537</v>
      </c>
      <c r="I418" s="3">
        <v>74395</v>
      </c>
      <c r="J418" s="3">
        <v>65700</v>
      </c>
      <c r="K418" s="3">
        <v>1570</v>
      </c>
      <c r="L418" s="3">
        <v>215</v>
      </c>
      <c r="M418" s="3">
        <v>199</v>
      </c>
      <c r="N418" s="3">
        <v>137</v>
      </c>
      <c r="O418" s="3">
        <v>253</v>
      </c>
      <c r="P418" s="3">
        <v>48096</v>
      </c>
      <c r="Q418" s="3">
        <v>2121</v>
      </c>
      <c r="R418" s="4">
        <v>3.23</v>
      </c>
      <c r="S418" s="6">
        <f>GlowNestSocialTable3[[#This Row],[Link Clicks]]/GlowNestSocialTable3[[#This Row],[Reach]]</f>
        <v>3.8508371385083712E-3</v>
      </c>
    </row>
    <row r="419" spans="1:19">
      <c r="A419" t="s">
        <v>455</v>
      </c>
      <c r="B419" s="2">
        <v>45910</v>
      </c>
      <c r="C419" t="s">
        <v>36</v>
      </c>
      <c r="D419" t="s">
        <v>20</v>
      </c>
      <c r="E419" t="s">
        <v>25</v>
      </c>
      <c r="F419" t="s">
        <v>31</v>
      </c>
      <c r="G419" t="s">
        <v>38</v>
      </c>
      <c r="H419" s="3">
        <v>89342</v>
      </c>
      <c r="I419" s="3">
        <v>97391</v>
      </c>
      <c r="J419" s="3">
        <v>76250</v>
      </c>
      <c r="K419" s="3">
        <v>818</v>
      </c>
      <c r="L419" s="3">
        <v>143</v>
      </c>
      <c r="M419" s="3">
        <v>112</v>
      </c>
      <c r="N419" s="3">
        <v>123</v>
      </c>
      <c r="O419" s="3">
        <v>285</v>
      </c>
      <c r="P419" s="3">
        <v>54076</v>
      </c>
      <c r="Q419" s="3">
        <v>1196</v>
      </c>
      <c r="R419" s="4">
        <v>1.57</v>
      </c>
      <c r="S419" s="6">
        <f>GlowNestSocialTable3[[#This Row],[Link Clicks]]/GlowNestSocialTable3[[#This Row],[Reach]]</f>
        <v>3.7377049180327871E-3</v>
      </c>
    </row>
    <row r="420" spans="1:19">
      <c r="A420" t="s">
        <v>456</v>
      </c>
      <c r="B420" s="2">
        <v>45910</v>
      </c>
      <c r="C420" t="s">
        <v>33</v>
      </c>
      <c r="D420" t="s">
        <v>30</v>
      </c>
      <c r="E420" t="s">
        <v>21</v>
      </c>
      <c r="F420" t="s">
        <v>28</v>
      </c>
      <c r="G420" t="s">
        <v>23</v>
      </c>
      <c r="H420" s="3">
        <v>34989</v>
      </c>
      <c r="I420" s="3">
        <v>9570</v>
      </c>
      <c r="J420" s="3">
        <v>8461</v>
      </c>
      <c r="K420" s="3">
        <v>161</v>
      </c>
      <c r="L420" s="3">
        <v>20</v>
      </c>
      <c r="M420" s="3">
        <v>23</v>
      </c>
      <c r="N420" s="3">
        <v>34</v>
      </c>
      <c r="O420" s="3">
        <v>73</v>
      </c>
      <c r="P420" s="3"/>
      <c r="Q420" s="3">
        <v>238</v>
      </c>
      <c r="R420" s="4">
        <v>2.81</v>
      </c>
      <c r="S420" s="6">
        <f>GlowNestSocialTable3[[#This Row],[Link Clicks]]/GlowNestSocialTable3[[#This Row],[Reach]]</f>
        <v>8.6278217704763033E-3</v>
      </c>
    </row>
    <row r="421" spans="1:19">
      <c r="A421" t="s">
        <v>457</v>
      </c>
      <c r="B421" s="2">
        <v>45911</v>
      </c>
      <c r="C421" t="s">
        <v>33</v>
      </c>
      <c r="D421" t="s">
        <v>30</v>
      </c>
      <c r="E421" t="s">
        <v>49</v>
      </c>
      <c r="F421" t="s">
        <v>44</v>
      </c>
      <c r="G421" t="s">
        <v>23</v>
      </c>
      <c r="H421" s="3">
        <v>34501</v>
      </c>
      <c r="I421" s="3">
        <v>14389</v>
      </c>
      <c r="J421" s="3">
        <v>9908</v>
      </c>
      <c r="K421" s="3">
        <v>245</v>
      </c>
      <c r="L421" s="3">
        <v>41</v>
      </c>
      <c r="M421" s="3">
        <v>37</v>
      </c>
      <c r="N421" s="3">
        <v>23</v>
      </c>
      <c r="O421" s="3">
        <v>96</v>
      </c>
      <c r="P421" s="3"/>
      <c r="Q421" s="3">
        <v>346</v>
      </c>
      <c r="R421" s="4">
        <v>3.49</v>
      </c>
      <c r="S421" s="6">
        <f>GlowNestSocialTable3[[#This Row],[Link Clicks]]/GlowNestSocialTable3[[#This Row],[Reach]]</f>
        <v>9.6891400888171175E-3</v>
      </c>
    </row>
    <row r="422" spans="1:19">
      <c r="A422" t="s">
        <v>458</v>
      </c>
      <c r="B422" s="2">
        <v>45912</v>
      </c>
      <c r="C422" t="s">
        <v>33</v>
      </c>
      <c r="D422" t="s">
        <v>37</v>
      </c>
      <c r="E422" t="s">
        <v>21</v>
      </c>
      <c r="F422" t="s">
        <v>22</v>
      </c>
      <c r="G422" t="s">
        <v>23</v>
      </c>
      <c r="H422" s="3">
        <v>36110</v>
      </c>
      <c r="I422" s="3">
        <v>13103</v>
      </c>
      <c r="J422" s="3">
        <v>10383</v>
      </c>
      <c r="K422" s="3">
        <v>359</v>
      </c>
      <c r="L422" s="3">
        <v>42</v>
      </c>
      <c r="M422" s="3">
        <v>58</v>
      </c>
      <c r="N422" s="3">
        <v>53</v>
      </c>
      <c r="O422" s="3">
        <v>121</v>
      </c>
      <c r="P422" s="3"/>
      <c r="Q422" s="3">
        <v>512</v>
      </c>
      <c r="R422" s="4">
        <v>4.93</v>
      </c>
      <c r="S422" s="6">
        <f>GlowNestSocialTable3[[#This Row],[Link Clicks]]/GlowNestSocialTable3[[#This Row],[Reach]]</f>
        <v>1.1653664644129827E-2</v>
      </c>
    </row>
    <row r="423" spans="1:19">
      <c r="A423" t="s">
        <v>459</v>
      </c>
      <c r="B423" s="2">
        <v>45912</v>
      </c>
      <c r="C423" t="s">
        <v>36</v>
      </c>
      <c r="D423" t="s">
        <v>30</v>
      </c>
      <c r="E423" t="s">
        <v>27</v>
      </c>
      <c r="F423" t="s">
        <v>22</v>
      </c>
      <c r="G423" t="s">
        <v>23</v>
      </c>
      <c r="H423" s="3">
        <v>89495</v>
      </c>
      <c r="I423" s="3">
        <v>50250</v>
      </c>
      <c r="J423" s="3">
        <v>38909</v>
      </c>
      <c r="K423" s="3">
        <v>652</v>
      </c>
      <c r="L423" s="3">
        <v>75</v>
      </c>
      <c r="M423" s="3">
        <v>66</v>
      </c>
      <c r="N423" s="3">
        <v>240</v>
      </c>
      <c r="O423" s="3">
        <v>198</v>
      </c>
      <c r="P423" s="3"/>
      <c r="Q423" s="3">
        <v>1033</v>
      </c>
      <c r="R423" s="4">
        <v>2.65</v>
      </c>
      <c r="S423" s="6">
        <f>GlowNestSocialTable3[[#This Row],[Link Clicks]]/GlowNestSocialTable3[[#This Row],[Reach]]</f>
        <v>5.0887969364414405E-3</v>
      </c>
    </row>
    <row r="424" spans="1:19">
      <c r="A424" t="s">
        <v>461</v>
      </c>
      <c r="B424" s="2">
        <v>45914</v>
      </c>
      <c r="C424" t="s">
        <v>19</v>
      </c>
      <c r="D424" t="s">
        <v>20</v>
      </c>
      <c r="E424" t="s">
        <v>46</v>
      </c>
      <c r="F424" t="s">
        <v>28</v>
      </c>
      <c r="G424" t="s">
        <v>23</v>
      </c>
      <c r="H424" s="3">
        <v>72632</v>
      </c>
      <c r="I424" s="3">
        <v>34638</v>
      </c>
      <c r="J424" s="3">
        <v>26934</v>
      </c>
      <c r="K424" s="3">
        <v>1607</v>
      </c>
      <c r="L424" s="3">
        <v>265</v>
      </c>
      <c r="M424" s="3">
        <v>244</v>
      </c>
      <c r="N424" s="3">
        <v>126</v>
      </c>
      <c r="O424" s="3">
        <v>350</v>
      </c>
      <c r="P424" s="3">
        <v>19760</v>
      </c>
      <c r="Q424" s="3">
        <v>2242</v>
      </c>
      <c r="R424" s="4">
        <v>8.32</v>
      </c>
      <c r="S424" s="6">
        <f>GlowNestSocialTable3[[#This Row],[Link Clicks]]/GlowNestSocialTable3[[#This Row],[Reach]]</f>
        <v>1.2994727853270958E-2</v>
      </c>
    </row>
    <row r="425" spans="1:19">
      <c r="A425" t="s">
        <v>462</v>
      </c>
      <c r="B425" s="2">
        <v>45915</v>
      </c>
      <c r="C425" t="s">
        <v>36</v>
      </c>
      <c r="D425" t="s">
        <v>20</v>
      </c>
      <c r="E425" t="s">
        <v>46</v>
      </c>
      <c r="F425" t="s">
        <v>44</v>
      </c>
      <c r="G425" t="s">
        <v>23</v>
      </c>
      <c r="H425" s="3">
        <v>86513</v>
      </c>
      <c r="I425" s="3">
        <v>55453</v>
      </c>
      <c r="J425" s="3">
        <v>44645</v>
      </c>
      <c r="K425" s="3">
        <v>799</v>
      </c>
      <c r="L425" s="3">
        <v>119</v>
      </c>
      <c r="M425" s="3">
        <v>104</v>
      </c>
      <c r="N425" s="3">
        <v>220</v>
      </c>
      <c r="O425" s="3">
        <v>305</v>
      </c>
      <c r="P425" s="3">
        <v>26364</v>
      </c>
      <c r="Q425" s="3">
        <v>1242</v>
      </c>
      <c r="R425" s="4">
        <v>2.78</v>
      </c>
      <c r="S425" s="6">
        <f>GlowNestSocialTable3[[#This Row],[Link Clicks]]/GlowNestSocialTable3[[#This Row],[Reach]]</f>
        <v>6.8316720797401724E-3</v>
      </c>
    </row>
    <row r="426" spans="1:19">
      <c r="A426" t="s">
        <v>463</v>
      </c>
      <c r="B426" s="2">
        <v>45915</v>
      </c>
      <c r="C426" t="s">
        <v>19</v>
      </c>
      <c r="D426" t="s">
        <v>37</v>
      </c>
      <c r="E426" t="s">
        <v>49</v>
      </c>
      <c r="F426" t="s">
        <v>44</v>
      </c>
      <c r="G426" t="s">
        <v>23</v>
      </c>
      <c r="H426" s="3">
        <v>75525</v>
      </c>
      <c r="I426" s="3">
        <v>25050</v>
      </c>
      <c r="J426" s="3">
        <v>22928</v>
      </c>
      <c r="K426" s="3">
        <v>1212</v>
      </c>
      <c r="L426" s="3">
        <v>128</v>
      </c>
      <c r="M426" s="3">
        <v>180</v>
      </c>
      <c r="N426" s="3">
        <v>206</v>
      </c>
      <c r="O426" s="3">
        <v>247</v>
      </c>
      <c r="P426" s="3"/>
      <c r="Q426" s="3">
        <v>1726</v>
      </c>
      <c r="R426" s="4">
        <v>7.53</v>
      </c>
      <c r="S426" s="6">
        <f>GlowNestSocialTable3[[#This Row],[Link Clicks]]/GlowNestSocialTable3[[#This Row],[Reach]]</f>
        <v>1.0772854152128402E-2</v>
      </c>
    </row>
    <row r="427" spans="1:19">
      <c r="A427" t="s">
        <v>464</v>
      </c>
      <c r="B427" s="2">
        <v>45916</v>
      </c>
      <c r="C427" t="s">
        <v>33</v>
      </c>
      <c r="D427" t="s">
        <v>37</v>
      </c>
      <c r="E427" t="s">
        <v>25</v>
      </c>
      <c r="F427" t="s">
        <v>31</v>
      </c>
      <c r="G427" t="s">
        <v>23</v>
      </c>
      <c r="H427" s="3">
        <v>34386</v>
      </c>
      <c r="I427" s="3">
        <v>8215</v>
      </c>
      <c r="J427" s="3">
        <v>6875</v>
      </c>
      <c r="K427" s="3">
        <v>121</v>
      </c>
      <c r="L427" s="3">
        <v>18</v>
      </c>
      <c r="M427" s="3">
        <v>19</v>
      </c>
      <c r="N427" s="3">
        <v>17</v>
      </c>
      <c r="O427" s="3">
        <v>55</v>
      </c>
      <c r="P427" s="3"/>
      <c r="Q427" s="3">
        <v>175</v>
      </c>
      <c r="R427" s="4">
        <v>2.5499999999999998</v>
      </c>
      <c r="S427" s="6">
        <f>GlowNestSocialTable3[[#This Row],[Link Clicks]]/GlowNestSocialTable3[[#This Row],[Reach]]</f>
        <v>8.0000000000000002E-3</v>
      </c>
    </row>
    <row r="428" spans="1:19">
      <c r="A428" t="s">
        <v>465</v>
      </c>
      <c r="B428" s="2">
        <v>45916</v>
      </c>
      <c r="C428" t="s">
        <v>36</v>
      </c>
      <c r="D428" t="s">
        <v>37</v>
      </c>
      <c r="E428" t="s">
        <v>27</v>
      </c>
      <c r="F428" t="s">
        <v>44</v>
      </c>
      <c r="G428" t="s">
        <v>23</v>
      </c>
      <c r="H428" s="3">
        <v>89201</v>
      </c>
      <c r="I428" s="3">
        <v>68041</v>
      </c>
      <c r="J428" s="3">
        <v>51532</v>
      </c>
      <c r="K428" s="3">
        <v>1071</v>
      </c>
      <c r="L428" s="3">
        <v>160</v>
      </c>
      <c r="M428" s="3">
        <v>114</v>
      </c>
      <c r="N428" s="3">
        <v>169</v>
      </c>
      <c r="O428" s="3">
        <v>239</v>
      </c>
      <c r="P428" s="3"/>
      <c r="Q428" s="3">
        <v>1514</v>
      </c>
      <c r="R428" s="4">
        <v>2.94</v>
      </c>
      <c r="S428" s="6">
        <f>GlowNestSocialTable3[[#This Row],[Link Clicks]]/GlowNestSocialTable3[[#This Row],[Reach]]</f>
        <v>4.6378949002561518E-3</v>
      </c>
    </row>
    <row r="429" spans="1:19">
      <c r="A429" t="s">
        <v>466</v>
      </c>
      <c r="B429" s="2">
        <v>45917</v>
      </c>
      <c r="C429" t="s">
        <v>33</v>
      </c>
      <c r="D429" t="s">
        <v>34</v>
      </c>
      <c r="E429" t="s">
        <v>46</v>
      </c>
      <c r="F429" t="s">
        <v>28</v>
      </c>
      <c r="G429" t="s">
        <v>23</v>
      </c>
      <c r="H429" s="3">
        <v>35260</v>
      </c>
      <c r="I429" s="3">
        <v>7522</v>
      </c>
      <c r="J429" s="3">
        <v>6949</v>
      </c>
      <c r="K429" s="3">
        <v>125</v>
      </c>
      <c r="L429" s="3">
        <v>20</v>
      </c>
      <c r="M429" s="3">
        <v>17</v>
      </c>
      <c r="N429" s="3">
        <v>14</v>
      </c>
      <c r="O429" s="3">
        <v>105</v>
      </c>
      <c r="P429" s="3"/>
      <c r="Q429" s="3">
        <v>176</v>
      </c>
      <c r="R429" s="4">
        <v>2.5299999999999998</v>
      </c>
      <c r="S429" s="6">
        <f>GlowNestSocialTable3[[#This Row],[Link Clicks]]/GlowNestSocialTable3[[#This Row],[Reach]]</f>
        <v>1.5110087782414737E-2</v>
      </c>
    </row>
    <row r="430" spans="1:19">
      <c r="A430" t="s">
        <v>467</v>
      </c>
      <c r="B430" s="2">
        <v>45918</v>
      </c>
      <c r="C430" t="s">
        <v>36</v>
      </c>
      <c r="D430" t="s">
        <v>30</v>
      </c>
      <c r="E430" t="s">
        <v>46</v>
      </c>
      <c r="F430" t="s">
        <v>42</v>
      </c>
      <c r="G430" t="s">
        <v>23</v>
      </c>
      <c r="H430" s="3">
        <v>88259</v>
      </c>
      <c r="I430" s="3">
        <v>45222</v>
      </c>
      <c r="J430" s="3">
        <v>29552</v>
      </c>
      <c r="K430" s="3">
        <v>315</v>
      </c>
      <c r="L430" s="3">
        <v>37</v>
      </c>
      <c r="M430" s="3">
        <v>32</v>
      </c>
      <c r="N430" s="3">
        <v>66</v>
      </c>
      <c r="O430" s="3">
        <v>118</v>
      </c>
      <c r="P430" s="3"/>
      <c r="Q430" s="3">
        <v>450</v>
      </c>
      <c r="R430" s="4">
        <v>1.52</v>
      </c>
      <c r="S430" s="6">
        <f>GlowNestSocialTable3[[#This Row],[Link Clicks]]/GlowNestSocialTable3[[#This Row],[Reach]]</f>
        <v>3.9929615592853279E-3</v>
      </c>
    </row>
    <row r="431" spans="1:19">
      <c r="A431" t="s">
        <v>468</v>
      </c>
      <c r="B431" s="2">
        <v>45918</v>
      </c>
      <c r="C431" t="s">
        <v>19</v>
      </c>
      <c r="D431" t="s">
        <v>37</v>
      </c>
      <c r="E431" t="s">
        <v>21</v>
      </c>
      <c r="F431" t="s">
        <v>22</v>
      </c>
      <c r="G431" t="s">
        <v>23</v>
      </c>
      <c r="H431" s="3">
        <v>74620</v>
      </c>
      <c r="I431" s="3">
        <v>31895</v>
      </c>
      <c r="J431" s="3">
        <v>29063</v>
      </c>
      <c r="K431" s="3">
        <v>1307</v>
      </c>
      <c r="L431" s="3">
        <v>147</v>
      </c>
      <c r="M431" s="3">
        <v>160</v>
      </c>
      <c r="N431" s="3">
        <v>462</v>
      </c>
      <c r="O431" s="3">
        <v>322</v>
      </c>
      <c r="P431" s="3"/>
      <c r="Q431" s="3">
        <v>2076</v>
      </c>
      <c r="R431" s="4">
        <v>7.14</v>
      </c>
      <c r="S431" s="6">
        <f>GlowNestSocialTable3[[#This Row],[Link Clicks]]/GlowNestSocialTable3[[#This Row],[Reach]]</f>
        <v>1.1079379279496267E-2</v>
      </c>
    </row>
    <row r="432" spans="1:19">
      <c r="A432" t="s">
        <v>469</v>
      </c>
      <c r="B432" s="2">
        <v>45919</v>
      </c>
      <c r="C432" t="s">
        <v>36</v>
      </c>
      <c r="D432" t="s">
        <v>20</v>
      </c>
      <c r="E432" t="s">
        <v>49</v>
      </c>
      <c r="F432" t="s">
        <v>44</v>
      </c>
      <c r="G432" t="s">
        <v>23</v>
      </c>
      <c r="H432" s="3">
        <v>90944</v>
      </c>
      <c r="I432" s="3">
        <v>68084</v>
      </c>
      <c r="J432" s="3">
        <v>59146</v>
      </c>
      <c r="K432" s="3">
        <v>1420</v>
      </c>
      <c r="L432" s="3">
        <v>214</v>
      </c>
      <c r="M432" s="3">
        <v>156</v>
      </c>
      <c r="N432" s="3">
        <v>576</v>
      </c>
      <c r="O432" s="3">
        <v>240</v>
      </c>
      <c r="P432" s="3">
        <v>53216</v>
      </c>
      <c r="Q432" s="3">
        <v>2366</v>
      </c>
      <c r="R432" s="4">
        <v>4</v>
      </c>
      <c r="S432" s="6">
        <f>GlowNestSocialTable3[[#This Row],[Link Clicks]]/GlowNestSocialTable3[[#This Row],[Reach]]</f>
        <v>4.0577553849795419E-3</v>
      </c>
    </row>
    <row r="433" spans="1:19">
      <c r="A433" t="s">
        <v>470</v>
      </c>
      <c r="B433" s="2">
        <v>45919</v>
      </c>
      <c r="C433" t="s">
        <v>36</v>
      </c>
      <c r="D433" t="s">
        <v>37</v>
      </c>
      <c r="E433" t="s">
        <v>27</v>
      </c>
      <c r="F433" t="s">
        <v>22</v>
      </c>
      <c r="G433" t="s">
        <v>23</v>
      </c>
      <c r="H433" s="3">
        <v>89596</v>
      </c>
      <c r="I433" s="3">
        <v>53761</v>
      </c>
      <c r="J433" s="3">
        <v>39201</v>
      </c>
      <c r="K433" s="3">
        <v>853</v>
      </c>
      <c r="L433" s="3">
        <v>159</v>
      </c>
      <c r="M433" s="3">
        <v>99</v>
      </c>
      <c r="N433" s="3">
        <v>284</v>
      </c>
      <c r="O433" s="3">
        <v>272</v>
      </c>
      <c r="P433" s="3"/>
      <c r="Q433" s="3">
        <v>1395</v>
      </c>
      <c r="R433" s="4">
        <v>3.56</v>
      </c>
      <c r="S433" s="6">
        <f>GlowNestSocialTable3[[#This Row],[Link Clicks]]/GlowNestSocialTable3[[#This Row],[Reach]]</f>
        <v>6.9385985051401752E-3</v>
      </c>
    </row>
    <row r="434" spans="1:19">
      <c r="A434" t="s">
        <v>471</v>
      </c>
      <c r="B434" s="2">
        <v>45920</v>
      </c>
      <c r="C434" t="s">
        <v>33</v>
      </c>
      <c r="D434" t="s">
        <v>30</v>
      </c>
      <c r="E434" t="s">
        <v>21</v>
      </c>
      <c r="F434" t="s">
        <v>44</v>
      </c>
      <c r="G434" t="s">
        <v>23</v>
      </c>
      <c r="H434" s="3">
        <v>34388</v>
      </c>
      <c r="I434" s="3">
        <v>12047</v>
      </c>
      <c r="J434" s="3">
        <v>8179</v>
      </c>
      <c r="K434" s="3">
        <v>159</v>
      </c>
      <c r="L434" s="3">
        <v>23</v>
      </c>
      <c r="M434" s="3">
        <v>16</v>
      </c>
      <c r="N434" s="3">
        <v>36</v>
      </c>
      <c r="O434" s="3">
        <v>96</v>
      </c>
      <c r="P434" s="3"/>
      <c r="Q434" s="3">
        <v>234</v>
      </c>
      <c r="R434" s="4">
        <v>2.86</v>
      </c>
      <c r="S434" s="6">
        <f>GlowNestSocialTable3[[#This Row],[Link Clicks]]/GlowNestSocialTable3[[#This Row],[Reach]]</f>
        <v>1.1737376207360314E-2</v>
      </c>
    </row>
    <row r="435" spans="1:19">
      <c r="A435" t="s">
        <v>472</v>
      </c>
      <c r="B435" s="2">
        <v>45921</v>
      </c>
      <c r="C435" t="s">
        <v>36</v>
      </c>
      <c r="D435" t="s">
        <v>37</v>
      </c>
      <c r="E435" t="s">
        <v>25</v>
      </c>
      <c r="F435" t="s">
        <v>22</v>
      </c>
      <c r="G435" t="s">
        <v>23</v>
      </c>
      <c r="H435" s="3">
        <v>87627</v>
      </c>
      <c r="I435" s="3">
        <v>63732</v>
      </c>
      <c r="J435" s="3">
        <v>43352</v>
      </c>
      <c r="K435" s="3">
        <v>408</v>
      </c>
      <c r="L435" s="3">
        <v>54</v>
      </c>
      <c r="M435" s="3">
        <v>56</v>
      </c>
      <c r="N435" s="3">
        <v>44</v>
      </c>
      <c r="O435" s="3">
        <v>137</v>
      </c>
      <c r="P435" s="3"/>
      <c r="Q435" s="3">
        <v>562</v>
      </c>
      <c r="R435" s="4">
        <v>1.3</v>
      </c>
      <c r="S435" s="6">
        <f>GlowNestSocialTable3[[#This Row],[Link Clicks]]/GlowNestSocialTable3[[#This Row],[Reach]]</f>
        <v>3.1601771544565419E-3</v>
      </c>
    </row>
    <row r="436" spans="1:19">
      <c r="A436" t="s">
        <v>473</v>
      </c>
      <c r="B436" s="2">
        <v>45921</v>
      </c>
      <c r="C436" t="s">
        <v>19</v>
      </c>
      <c r="D436" t="s">
        <v>30</v>
      </c>
      <c r="E436" t="s">
        <v>46</v>
      </c>
      <c r="F436" t="s">
        <v>22</v>
      </c>
      <c r="G436" t="s">
        <v>38</v>
      </c>
      <c r="H436" s="3">
        <v>73849</v>
      </c>
      <c r="I436" s="3">
        <v>42856</v>
      </c>
      <c r="J436" s="3">
        <v>30130</v>
      </c>
      <c r="K436" s="3">
        <v>894</v>
      </c>
      <c r="L436" s="3">
        <v>168</v>
      </c>
      <c r="M436" s="3">
        <v>103</v>
      </c>
      <c r="N436" s="3">
        <v>137</v>
      </c>
      <c r="O436" s="3">
        <v>386</v>
      </c>
      <c r="P436" s="3"/>
      <c r="Q436" s="3">
        <v>1302</v>
      </c>
      <c r="R436" s="4">
        <v>4.32</v>
      </c>
      <c r="S436" s="6">
        <f>GlowNestSocialTable3[[#This Row],[Link Clicks]]/GlowNestSocialTable3[[#This Row],[Reach]]</f>
        <v>1.2811151676070361E-2</v>
      </c>
    </row>
    <row r="437" spans="1:19">
      <c r="A437" t="s">
        <v>474</v>
      </c>
      <c r="B437" s="2">
        <v>45922</v>
      </c>
      <c r="C437" t="s">
        <v>36</v>
      </c>
      <c r="D437" t="s">
        <v>30</v>
      </c>
      <c r="E437" t="s">
        <v>21</v>
      </c>
      <c r="G437" t="s">
        <v>23</v>
      </c>
      <c r="H437" s="3">
        <v>89051</v>
      </c>
      <c r="I437" s="3">
        <v>47321</v>
      </c>
      <c r="J437" s="3">
        <v>31679</v>
      </c>
      <c r="K437" s="3">
        <v>526</v>
      </c>
      <c r="L437" s="3">
        <v>92</v>
      </c>
      <c r="M437" s="3">
        <v>54</v>
      </c>
      <c r="N437" s="3">
        <v>39</v>
      </c>
      <c r="O437" s="3">
        <v>117</v>
      </c>
      <c r="P437" s="3"/>
      <c r="Q437" s="3">
        <v>711</v>
      </c>
      <c r="R437" s="4">
        <v>2.2400000000000002</v>
      </c>
      <c r="S437" s="6">
        <f>GlowNestSocialTable3[[#This Row],[Link Clicks]]/GlowNestSocialTable3[[#This Row],[Reach]]</f>
        <v>3.6932983995706936E-3</v>
      </c>
    </row>
    <row r="438" spans="1:19">
      <c r="A438" t="s">
        <v>475</v>
      </c>
      <c r="B438" s="2">
        <v>45922</v>
      </c>
      <c r="C438" t="s">
        <v>33</v>
      </c>
      <c r="D438" t="s">
        <v>30</v>
      </c>
      <c r="E438" t="s">
        <v>27</v>
      </c>
      <c r="F438" t="s">
        <v>44</v>
      </c>
      <c r="G438" t="s">
        <v>38</v>
      </c>
      <c r="H438" s="3">
        <v>33055</v>
      </c>
      <c r="I438" s="3">
        <v>18030</v>
      </c>
      <c r="J438" s="3">
        <v>15020</v>
      </c>
      <c r="K438" s="3">
        <v>443</v>
      </c>
      <c r="L438" s="3">
        <v>53</v>
      </c>
      <c r="M438" s="3">
        <v>63</v>
      </c>
      <c r="N438" s="3">
        <v>38</v>
      </c>
      <c r="O438" s="3">
        <v>252</v>
      </c>
      <c r="P438" s="3"/>
      <c r="Q438" s="3">
        <v>597</v>
      </c>
      <c r="R438" s="4">
        <v>3.97</v>
      </c>
      <c r="S438" s="6">
        <f>GlowNestSocialTable3[[#This Row],[Link Clicks]]/GlowNestSocialTable3[[#This Row],[Reach]]</f>
        <v>1.6777629826897469E-2</v>
      </c>
    </row>
    <row r="439" spans="1:19">
      <c r="A439" t="s">
        <v>476</v>
      </c>
      <c r="B439" s="2">
        <v>45923</v>
      </c>
      <c r="C439" t="s">
        <v>19</v>
      </c>
      <c r="D439" t="s">
        <v>30</v>
      </c>
      <c r="E439" t="s">
        <v>25</v>
      </c>
      <c r="F439" t="s">
        <v>28</v>
      </c>
      <c r="G439" t="s">
        <v>23</v>
      </c>
      <c r="H439" s="3">
        <v>75154</v>
      </c>
      <c r="I439" s="3">
        <v>30415</v>
      </c>
      <c r="J439" s="3">
        <v>19949</v>
      </c>
      <c r="K439" s="3">
        <v>482</v>
      </c>
      <c r="L439" s="3">
        <v>83</v>
      </c>
      <c r="M439" s="3">
        <v>69</v>
      </c>
      <c r="N439" s="3">
        <v>53</v>
      </c>
      <c r="O439" s="3">
        <v>168</v>
      </c>
      <c r="P439" s="3"/>
      <c r="Q439" s="3">
        <v>687</v>
      </c>
      <c r="R439" s="4">
        <v>3.44</v>
      </c>
      <c r="S439" s="6">
        <f>GlowNestSocialTable3[[#This Row],[Link Clicks]]/GlowNestSocialTable3[[#This Row],[Reach]]</f>
        <v>8.4214747606396311E-3</v>
      </c>
    </row>
    <row r="440" spans="1:19">
      <c r="A440" t="s">
        <v>477</v>
      </c>
      <c r="B440" s="2">
        <v>45924</v>
      </c>
      <c r="C440" t="s">
        <v>19</v>
      </c>
      <c r="D440" t="s">
        <v>30</v>
      </c>
      <c r="E440" t="s">
        <v>27</v>
      </c>
      <c r="F440" t="s">
        <v>28</v>
      </c>
      <c r="G440" t="s">
        <v>38</v>
      </c>
      <c r="H440" s="3">
        <v>73986</v>
      </c>
      <c r="I440" s="3">
        <v>51399</v>
      </c>
      <c r="J440" s="3">
        <v>44894</v>
      </c>
      <c r="K440" s="3">
        <v>1433</v>
      </c>
      <c r="L440" s="3">
        <v>228</v>
      </c>
      <c r="M440" s="3">
        <v>166</v>
      </c>
      <c r="N440" s="3">
        <v>135</v>
      </c>
      <c r="O440" s="3">
        <v>484</v>
      </c>
      <c r="P440" s="3"/>
      <c r="Q440" s="3">
        <v>1962</v>
      </c>
      <c r="R440" s="4">
        <v>4.37</v>
      </c>
      <c r="S440" s="6">
        <f>GlowNestSocialTable3[[#This Row],[Link Clicks]]/GlowNestSocialTable3[[#This Row],[Reach]]</f>
        <v>1.0780950683833029E-2</v>
      </c>
    </row>
    <row r="441" spans="1:19">
      <c r="A441" t="s">
        <v>478</v>
      </c>
      <c r="B441" s="2">
        <v>45924</v>
      </c>
      <c r="C441" t="s">
        <v>33</v>
      </c>
      <c r="D441" t="s">
        <v>37</v>
      </c>
      <c r="E441" t="s">
        <v>46</v>
      </c>
      <c r="F441" t="s">
        <v>31</v>
      </c>
      <c r="G441" t="s">
        <v>38</v>
      </c>
      <c r="H441" s="3">
        <v>34386</v>
      </c>
      <c r="I441" s="3">
        <v>11153</v>
      </c>
      <c r="J441" s="3">
        <v>9342</v>
      </c>
      <c r="K441" s="3">
        <v>278</v>
      </c>
      <c r="L441" s="3">
        <v>40</v>
      </c>
      <c r="M441" s="3">
        <v>40</v>
      </c>
      <c r="N441" s="3">
        <v>77</v>
      </c>
      <c r="O441" s="3">
        <v>171</v>
      </c>
      <c r="P441" s="3"/>
      <c r="Q441" s="3">
        <v>435</v>
      </c>
      <c r="R441" s="4">
        <v>4.66</v>
      </c>
      <c r="S441" s="6">
        <f>GlowNestSocialTable3[[#This Row],[Link Clicks]]/GlowNestSocialTable3[[#This Row],[Reach]]</f>
        <v>1.8304431599229287E-2</v>
      </c>
    </row>
    <row r="442" spans="1:19">
      <c r="A442" t="s">
        <v>479</v>
      </c>
      <c r="B442" s="2">
        <v>45925</v>
      </c>
      <c r="C442" t="s">
        <v>36</v>
      </c>
      <c r="D442" t="s">
        <v>20</v>
      </c>
      <c r="E442" t="s">
        <v>21</v>
      </c>
      <c r="F442" t="s">
        <v>22</v>
      </c>
      <c r="G442" t="s">
        <v>38</v>
      </c>
      <c r="H442" s="3">
        <v>88463</v>
      </c>
      <c r="I442" s="3">
        <v>96558</v>
      </c>
      <c r="J442" s="3">
        <v>73173</v>
      </c>
      <c r="K442" s="3">
        <v>1685</v>
      </c>
      <c r="L442" s="3">
        <v>219</v>
      </c>
      <c r="M442" s="3">
        <v>272</v>
      </c>
      <c r="N442" s="3">
        <v>369</v>
      </c>
      <c r="O442" s="3">
        <v>298</v>
      </c>
      <c r="P442" s="3">
        <v>53406</v>
      </c>
      <c r="Q442" s="3">
        <v>2545</v>
      </c>
      <c r="R442" s="4">
        <v>3.48</v>
      </c>
      <c r="S442" s="6">
        <f>GlowNestSocialTable3[[#This Row],[Link Clicks]]/GlowNestSocialTable3[[#This Row],[Reach]]</f>
        <v>4.0725404179137109E-3</v>
      </c>
    </row>
    <row r="443" spans="1:19">
      <c r="A443" t="s">
        <v>480</v>
      </c>
      <c r="B443" s="2">
        <v>45925</v>
      </c>
      <c r="C443" t="s">
        <v>19</v>
      </c>
      <c r="D443" t="s">
        <v>20</v>
      </c>
      <c r="E443" t="s">
        <v>46</v>
      </c>
      <c r="F443" t="s">
        <v>28</v>
      </c>
      <c r="G443" t="s">
        <v>38</v>
      </c>
      <c r="H443" s="3">
        <v>75142</v>
      </c>
      <c r="I443" s="3">
        <v>59778</v>
      </c>
      <c r="J443" s="3">
        <v>54488</v>
      </c>
      <c r="K443" s="3">
        <v>2533</v>
      </c>
      <c r="L443" s="3">
        <v>330</v>
      </c>
      <c r="M443" s="3">
        <v>404</v>
      </c>
      <c r="N443" s="3">
        <v>860</v>
      </c>
      <c r="O443" s="3">
        <v>597</v>
      </c>
      <c r="P443" s="3">
        <v>39789</v>
      </c>
      <c r="Q443" s="3">
        <v>4127</v>
      </c>
      <c r="R443" s="4">
        <v>7.57</v>
      </c>
      <c r="S443" s="6">
        <f>GlowNestSocialTable3[[#This Row],[Link Clicks]]/GlowNestSocialTable3[[#This Row],[Reach]]</f>
        <v>1.0956540889737189E-2</v>
      </c>
    </row>
    <row r="444" spans="1:19">
      <c r="A444" t="s">
        <v>481</v>
      </c>
      <c r="B444" s="2">
        <v>45926</v>
      </c>
      <c r="C444" t="s">
        <v>19</v>
      </c>
      <c r="D444" t="s">
        <v>20</v>
      </c>
      <c r="E444" t="s">
        <v>27</v>
      </c>
      <c r="F444" t="s">
        <v>31</v>
      </c>
      <c r="G444" t="s">
        <v>38</v>
      </c>
      <c r="H444" s="3">
        <v>73211</v>
      </c>
      <c r="I444" s="3">
        <v>67952</v>
      </c>
      <c r="J444" s="3">
        <v>48899</v>
      </c>
      <c r="K444" s="3">
        <v>3387</v>
      </c>
      <c r="L444" s="3">
        <v>494</v>
      </c>
      <c r="M444" s="3">
        <v>340</v>
      </c>
      <c r="N444" s="3">
        <v>585</v>
      </c>
      <c r="O444" s="3">
        <v>694</v>
      </c>
      <c r="P444" s="3">
        <v>43074</v>
      </c>
      <c r="Q444" s="3">
        <v>4806</v>
      </c>
      <c r="R444" s="4">
        <v>9.83</v>
      </c>
      <c r="S444" s="6">
        <f>GlowNestSocialTable3[[#This Row],[Link Clicks]]/GlowNestSocialTable3[[#This Row],[Reach]]</f>
        <v>1.4192519274422789E-2</v>
      </c>
    </row>
    <row r="445" spans="1:19">
      <c r="A445" t="s">
        <v>482</v>
      </c>
      <c r="B445" s="2">
        <v>45927</v>
      </c>
      <c r="C445" t="s">
        <v>33</v>
      </c>
      <c r="D445" t="s">
        <v>34</v>
      </c>
      <c r="E445" t="s">
        <v>46</v>
      </c>
      <c r="F445" t="s">
        <v>31</v>
      </c>
      <c r="G445" t="s">
        <v>23</v>
      </c>
      <c r="H445" s="3">
        <v>34788</v>
      </c>
      <c r="I445" s="3">
        <v>5672</v>
      </c>
      <c r="J445" s="3">
        <v>4919</v>
      </c>
      <c r="K445" s="3">
        <v>132</v>
      </c>
      <c r="L445" s="3">
        <v>14</v>
      </c>
      <c r="M445" s="3">
        <v>18</v>
      </c>
      <c r="N445" s="3">
        <v>9</v>
      </c>
      <c r="O445" s="3">
        <v>73</v>
      </c>
      <c r="P445" s="3"/>
      <c r="Q445" s="3">
        <v>173</v>
      </c>
      <c r="R445" s="4">
        <v>3.52</v>
      </c>
      <c r="S445" s="6">
        <f>GlowNestSocialTable3[[#This Row],[Link Clicks]]/GlowNestSocialTable3[[#This Row],[Reach]]</f>
        <v>1.4840414718438708E-2</v>
      </c>
    </row>
    <row r="446" spans="1:19">
      <c r="A446" t="s">
        <v>483</v>
      </c>
      <c r="B446" s="2">
        <v>45927</v>
      </c>
      <c r="C446" t="s">
        <v>19</v>
      </c>
      <c r="D446" t="s">
        <v>30</v>
      </c>
      <c r="E446" t="s">
        <v>27</v>
      </c>
      <c r="F446" t="s">
        <v>44</v>
      </c>
      <c r="G446" t="s">
        <v>23</v>
      </c>
      <c r="H446" s="3">
        <v>73252</v>
      </c>
      <c r="I446" s="3">
        <v>26246</v>
      </c>
      <c r="J446" s="3">
        <v>23933</v>
      </c>
      <c r="K446" s="3">
        <v>1192</v>
      </c>
      <c r="L446" s="3">
        <v>184</v>
      </c>
      <c r="M446" s="3">
        <v>191</v>
      </c>
      <c r="N446" s="3">
        <v>107</v>
      </c>
      <c r="O446" s="3">
        <v>267</v>
      </c>
      <c r="P446" s="3"/>
      <c r="Q446" s="3">
        <v>1674</v>
      </c>
      <c r="R446" s="4">
        <v>6.99</v>
      </c>
      <c r="S446" s="6">
        <f>GlowNestSocialTable3[[#This Row],[Link Clicks]]/GlowNestSocialTable3[[#This Row],[Reach]]</f>
        <v>1.1156144235992144E-2</v>
      </c>
    </row>
    <row r="447" spans="1:19">
      <c r="A447" t="s">
        <v>484</v>
      </c>
      <c r="B447" s="2">
        <v>45928</v>
      </c>
      <c r="C447" t="s">
        <v>36</v>
      </c>
      <c r="D447" t="s">
        <v>30</v>
      </c>
      <c r="E447" t="s">
        <v>21</v>
      </c>
      <c r="F447" t="s">
        <v>44</v>
      </c>
      <c r="G447" t="s">
        <v>23</v>
      </c>
      <c r="H447" s="3">
        <v>89140</v>
      </c>
      <c r="I447" s="3">
        <v>32382</v>
      </c>
      <c r="J447" s="3">
        <v>28023</v>
      </c>
      <c r="K447" s="3">
        <v>439</v>
      </c>
      <c r="L447" s="3">
        <v>83</v>
      </c>
      <c r="M447" s="3">
        <v>47</v>
      </c>
      <c r="N447" s="3">
        <v>60</v>
      </c>
      <c r="O447" s="3">
        <v>116</v>
      </c>
      <c r="P447" s="3"/>
      <c r="Q447" s="3">
        <v>629</v>
      </c>
      <c r="R447" s="4">
        <v>2.2400000000000002</v>
      </c>
      <c r="S447" s="6">
        <f>GlowNestSocialTable3[[#This Row],[Link Clicks]]/GlowNestSocialTable3[[#This Row],[Reach]]</f>
        <v>4.1394568747100593E-3</v>
      </c>
    </row>
    <row r="448" spans="1:19">
      <c r="A448" t="s">
        <v>485</v>
      </c>
      <c r="B448" s="2">
        <v>45929</v>
      </c>
      <c r="C448" t="s">
        <v>33</v>
      </c>
      <c r="D448" t="s">
        <v>30</v>
      </c>
      <c r="E448" t="s">
        <v>25</v>
      </c>
      <c r="F448" t="s">
        <v>31</v>
      </c>
      <c r="G448" t="s">
        <v>38</v>
      </c>
      <c r="H448" s="3">
        <v>35846</v>
      </c>
      <c r="I448" s="3">
        <v>15181</v>
      </c>
      <c r="J448" s="3">
        <v>9990</v>
      </c>
      <c r="K448" s="3">
        <v>150</v>
      </c>
      <c r="L448" s="3">
        <v>18</v>
      </c>
      <c r="M448" s="3">
        <v>14</v>
      </c>
      <c r="N448" s="3">
        <v>10</v>
      </c>
      <c r="O448" s="3">
        <v>97</v>
      </c>
      <c r="P448" s="3"/>
      <c r="Q448" s="3">
        <v>192</v>
      </c>
      <c r="R448" s="4">
        <v>1.92</v>
      </c>
      <c r="S448" s="6">
        <f>GlowNestSocialTable3[[#This Row],[Link Clicks]]/GlowNestSocialTable3[[#This Row],[Reach]]</f>
        <v>9.7097097097097098E-3</v>
      </c>
    </row>
    <row r="449" spans="1:19">
      <c r="A449" t="s">
        <v>486</v>
      </c>
      <c r="B449" s="2">
        <v>45929</v>
      </c>
      <c r="C449" t="s">
        <v>36</v>
      </c>
      <c r="D449" t="s">
        <v>34</v>
      </c>
      <c r="E449" t="s">
        <v>25</v>
      </c>
      <c r="F449" t="s">
        <v>28</v>
      </c>
      <c r="G449" t="s">
        <v>38</v>
      </c>
      <c r="H449" s="3">
        <v>88635</v>
      </c>
      <c r="I449" s="3">
        <v>48926</v>
      </c>
      <c r="J449" s="3">
        <v>37094</v>
      </c>
      <c r="K449" s="3">
        <v>310</v>
      </c>
      <c r="L449" s="3">
        <v>49</v>
      </c>
      <c r="M449" s="3">
        <v>30</v>
      </c>
      <c r="N449" s="3">
        <v>37</v>
      </c>
      <c r="O449" s="3">
        <v>201</v>
      </c>
      <c r="P449" s="3"/>
      <c r="Q449" s="3">
        <v>426</v>
      </c>
      <c r="R449" s="4">
        <v>1.1499999999999999</v>
      </c>
      <c r="S449" s="6">
        <f>GlowNestSocialTable3[[#This Row],[Link Clicks]]/GlowNestSocialTable3[[#This Row],[Reach]]</f>
        <v>5.4186660915511945E-3</v>
      </c>
    </row>
    <row r="450" spans="1:19">
      <c r="A450" t="s">
        <v>487</v>
      </c>
      <c r="B450" s="2">
        <v>45930</v>
      </c>
      <c r="C450" t="s">
        <v>19</v>
      </c>
      <c r="D450" t="s">
        <v>20</v>
      </c>
      <c r="E450" t="s">
        <v>27</v>
      </c>
      <c r="F450" t="s">
        <v>28</v>
      </c>
      <c r="G450" t="s">
        <v>23</v>
      </c>
      <c r="H450" s="3">
        <v>74360</v>
      </c>
      <c r="I450" s="3">
        <v>55363</v>
      </c>
      <c r="J450" s="3">
        <v>40296</v>
      </c>
      <c r="K450" s="3">
        <v>2291</v>
      </c>
      <c r="L450" s="3">
        <v>294</v>
      </c>
      <c r="M450" s="3">
        <v>384</v>
      </c>
      <c r="N450" s="3">
        <v>912</v>
      </c>
      <c r="O450" s="3">
        <v>408</v>
      </c>
      <c r="P450" s="3">
        <v>26679</v>
      </c>
      <c r="Q450" s="3">
        <v>3881</v>
      </c>
      <c r="R450" s="4">
        <v>9.6300000000000008</v>
      </c>
      <c r="S450" s="6">
        <f>GlowNestSocialTable3[[#This Row],[Link Clicks]]/GlowNestSocialTable3[[#This Row],[Reach]]</f>
        <v>1.0125074449076831E-2</v>
      </c>
    </row>
    <row r="451" spans="1:19">
      <c r="A451" t="s">
        <v>488</v>
      </c>
      <c r="B451" s="2">
        <v>45930</v>
      </c>
      <c r="C451" t="s">
        <v>19</v>
      </c>
      <c r="D451" t="s">
        <v>30</v>
      </c>
      <c r="E451" t="s">
        <v>25</v>
      </c>
      <c r="F451" t="s">
        <v>31</v>
      </c>
      <c r="G451" t="s">
        <v>38</v>
      </c>
      <c r="H451" s="3">
        <v>74021</v>
      </c>
      <c r="I451" s="3">
        <v>52314</v>
      </c>
      <c r="J451" s="3">
        <v>40763</v>
      </c>
      <c r="K451" s="3">
        <v>731</v>
      </c>
      <c r="L451" s="3">
        <v>93</v>
      </c>
      <c r="M451" s="3">
        <v>109</v>
      </c>
      <c r="N451" s="3">
        <v>41</v>
      </c>
      <c r="O451" s="3">
        <v>342</v>
      </c>
      <c r="P451" s="3"/>
      <c r="Q451" s="3">
        <v>974</v>
      </c>
      <c r="R451" s="4">
        <v>2.39</v>
      </c>
      <c r="S451" s="6">
        <f>GlowNestSocialTable3[[#This Row],[Link Clicks]]/GlowNestSocialTable3[[#This Row],[Reach]]</f>
        <v>8.3899614846797334E-3</v>
      </c>
    </row>
    <row r="452" spans="1:19">
      <c r="A452" t="s">
        <v>489</v>
      </c>
      <c r="B452" s="2">
        <v>45931</v>
      </c>
      <c r="C452" t="s">
        <v>19</v>
      </c>
      <c r="D452" t="s">
        <v>37</v>
      </c>
      <c r="E452" t="s">
        <v>25</v>
      </c>
      <c r="F452" t="s">
        <v>28</v>
      </c>
      <c r="G452" t="s">
        <v>23</v>
      </c>
      <c r="H452" s="3">
        <v>73679</v>
      </c>
      <c r="I452" s="3">
        <v>40721</v>
      </c>
      <c r="J452" s="3">
        <v>30658</v>
      </c>
      <c r="K452" s="3">
        <v>925</v>
      </c>
      <c r="L452" s="3">
        <v>158</v>
      </c>
      <c r="M452" s="3">
        <v>98</v>
      </c>
      <c r="N452" s="3">
        <v>95</v>
      </c>
      <c r="O452" s="3">
        <v>199</v>
      </c>
      <c r="P452" s="3"/>
      <c r="Q452" s="3">
        <v>1276</v>
      </c>
      <c r="R452" s="4">
        <v>4.16</v>
      </c>
      <c r="S452" s="6">
        <f>GlowNestSocialTable3[[#This Row],[Link Clicks]]/GlowNestSocialTable3[[#This Row],[Reach]]</f>
        <v>6.4909648378889684E-3</v>
      </c>
    </row>
    <row r="453" spans="1:19">
      <c r="A453" t="s">
        <v>490</v>
      </c>
      <c r="B453" s="2">
        <v>45932</v>
      </c>
      <c r="C453" t="s">
        <v>36</v>
      </c>
      <c r="D453" t="s">
        <v>30</v>
      </c>
      <c r="E453" t="s">
        <v>27</v>
      </c>
      <c r="F453" t="s">
        <v>31</v>
      </c>
      <c r="G453" t="s">
        <v>23</v>
      </c>
      <c r="H453" s="3">
        <v>89860</v>
      </c>
      <c r="I453" s="3">
        <v>67113</v>
      </c>
      <c r="J453" s="3">
        <v>45791</v>
      </c>
      <c r="K453" s="3">
        <v>589</v>
      </c>
      <c r="L453" s="3">
        <v>99</v>
      </c>
      <c r="M453" s="3">
        <v>89</v>
      </c>
      <c r="N453" s="3">
        <v>90</v>
      </c>
      <c r="O453" s="3">
        <v>250</v>
      </c>
      <c r="P453" s="3"/>
      <c r="Q453" s="3">
        <v>867</v>
      </c>
      <c r="R453" s="4">
        <v>1.89</v>
      </c>
      <c r="S453" s="6">
        <f>GlowNestSocialTable3[[#This Row],[Link Clicks]]/GlowNestSocialTable3[[#This Row],[Reach]]</f>
        <v>5.459588128671573E-3</v>
      </c>
    </row>
    <row r="454" spans="1:19">
      <c r="A454" t="s">
        <v>491</v>
      </c>
      <c r="B454" s="2">
        <v>45932</v>
      </c>
      <c r="C454" t="s">
        <v>19</v>
      </c>
      <c r="D454" t="s">
        <v>37</v>
      </c>
      <c r="E454" t="s">
        <v>49</v>
      </c>
      <c r="F454" t="s">
        <v>22</v>
      </c>
      <c r="G454" t="s">
        <v>23</v>
      </c>
      <c r="H454" s="3">
        <v>77344</v>
      </c>
      <c r="I454" s="3">
        <v>43159</v>
      </c>
      <c r="J454" s="3">
        <v>34050</v>
      </c>
      <c r="K454" s="3">
        <v>1746</v>
      </c>
      <c r="L454" s="3">
        <v>218</v>
      </c>
      <c r="M454" s="3">
        <v>211</v>
      </c>
      <c r="N454" s="3">
        <v>392</v>
      </c>
      <c r="O454" s="3">
        <v>388</v>
      </c>
      <c r="P454" s="3"/>
      <c r="Q454" s="3">
        <v>2567</v>
      </c>
      <c r="R454" s="4">
        <v>7.54</v>
      </c>
      <c r="S454" s="6">
        <f>GlowNestSocialTable3[[#This Row],[Link Clicks]]/GlowNestSocialTable3[[#This Row],[Reach]]</f>
        <v>1.1395007342143906E-2</v>
      </c>
    </row>
    <row r="455" spans="1:19">
      <c r="A455" t="s">
        <v>492</v>
      </c>
      <c r="B455" s="2">
        <v>45933</v>
      </c>
      <c r="C455" t="s">
        <v>36</v>
      </c>
      <c r="D455" t="s">
        <v>34</v>
      </c>
      <c r="E455" t="s">
        <v>46</v>
      </c>
      <c r="F455" t="s">
        <v>42</v>
      </c>
      <c r="G455" t="s">
        <v>23</v>
      </c>
      <c r="H455" s="3">
        <v>88871</v>
      </c>
      <c r="I455" s="3">
        <v>29730</v>
      </c>
      <c r="J455" s="3">
        <v>23104</v>
      </c>
      <c r="K455" s="3">
        <v>246</v>
      </c>
      <c r="L455" s="3">
        <v>44</v>
      </c>
      <c r="M455" s="3">
        <v>33</v>
      </c>
      <c r="N455" s="3">
        <v>15</v>
      </c>
      <c r="O455" s="3">
        <v>105</v>
      </c>
      <c r="P455" s="3"/>
      <c r="Q455" s="3">
        <v>338</v>
      </c>
      <c r="R455" s="4">
        <v>2.92</v>
      </c>
      <c r="S455" s="6">
        <f>GlowNestSocialTable3[[#This Row],[Link Clicks]]/GlowNestSocialTable3[[#This Row],[Reach]]</f>
        <v>4.5446675900277008E-3</v>
      </c>
    </row>
    <row r="456" spans="1:19">
      <c r="A456" t="s">
        <v>493</v>
      </c>
      <c r="B456" s="2">
        <v>45933</v>
      </c>
      <c r="C456" t="s">
        <v>19</v>
      </c>
      <c r="D456" t="s">
        <v>34</v>
      </c>
      <c r="E456" t="s">
        <v>49</v>
      </c>
      <c r="F456" t="s">
        <v>44</v>
      </c>
      <c r="G456" t="s">
        <v>38</v>
      </c>
      <c r="H456" s="3">
        <v>74809</v>
      </c>
      <c r="I456" s="3">
        <v>45412</v>
      </c>
      <c r="J456" s="3">
        <v>31531</v>
      </c>
      <c r="K456" s="3">
        <v>993</v>
      </c>
      <c r="L456" s="3">
        <v>111</v>
      </c>
      <c r="M456" s="3">
        <v>160</v>
      </c>
      <c r="N456" s="3">
        <v>100</v>
      </c>
      <c r="O456" s="3">
        <v>326</v>
      </c>
      <c r="P456" s="3"/>
      <c r="Q456" s="3">
        <v>1364</v>
      </c>
      <c r="R456" s="4">
        <v>4.33</v>
      </c>
      <c r="S456" s="6">
        <f>GlowNestSocialTable3[[#This Row],[Link Clicks]]/GlowNestSocialTable3[[#This Row],[Reach]]</f>
        <v>1.0339031429386953E-2</v>
      </c>
    </row>
    <row r="457" spans="1:19">
      <c r="A457" t="s">
        <v>494</v>
      </c>
      <c r="B457" s="2">
        <v>45934</v>
      </c>
      <c r="C457" t="s">
        <v>19</v>
      </c>
      <c r="D457" t="s">
        <v>20</v>
      </c>
      <c r="E457" t="s">
        <v>49</v>
      </c>
      <c r="F457" t="s">
        <v>22</v>
      </c>
      <c r="G457" t="s">
        <v>23</v>
      </c>
      <c r="H457" s="3">
        <v>73032</v>
      </c>
      <c r="I457" s="3">
        <v>30301</v>
      </c>
      <c r="J457" s="3">
        <v>27701</v>
      </c>
      <c r="K457" s="3">
        <v>1242</v>
      </c>
      <c r="L457" s="3">
        <v>159</v>
      </c>
      <c r="M457" s="3">
        <v>107</v>
      </c>
      <c r="N457" s="3">
        <v>265</v>
      </c>
      <c r="O457" s="3">
        <v>240</v>
      </c>
      <c r="P457" s="3">
        <v>21845</v>
      </c>
      <c r="Q457" s="3">
        <v>1773</v>
      </c>
      <c r="R457" s="4">
        <v>6.4</v>
      </c>
      <c r="S457" s="6">
        <f>GlowNestSocialTable3[[#This Row],[Link Clicks]]/GlowNestSocialTable3[[#This Row],[Reach]]</f>
        <v>8.6639471499223852E-3</v>
      </c>
    </row>
    <row r="458" spans="1:19">
      <c r="A458" t="s">
        <v>495</v>
      </c>
      <c r="B458" s="2">
        <v>45935</v>
      </c>
      <c r="C458" t="s">
        <v>19</v>
      </c>
      <c r="D458" t="s">
        <v>20</v>
      </c>
      <c r="E458" t="s">
        <v>27</v>
      </c>
      <c r="F458" t="s">
        <v>22</v>
      </c>
      <c r="G458" t="s">
        <v>38</v>
      </c>
      <c r="H458" s="3">
        <v>74076</v>
      </c>
      <c r="I458" s="3">
        <v>77798</v>
      </c>
      <c r="J458" s="3">
        <v>52748</v>
      </c>
      <c r="K458" s="3">
        <v>3532</v>
      </c>
      <c r="L458" s="3">
        <v>388</v>
      </c>
      <c r="M458" s="3">
        <v>416</v>
      </c>
      <c r="N458" s="3">
        <v>1119</v>
      </c>
      <c r="O458" s="3">
        <v>517</v>
      </c>
      <c r="P458" s="3">
        <v>33609</v>
      </c>
      <c r="Q458" s="3">
        <v>5455</v>
      </c>
      <c r="R458" s="4">
        <v>10.34</v>
      </c>
      <c r="S458" s="6">
        <f>GlowNestSocialTable3[[#This Row],[Link Clicks]]/GlowNestSocialTable3[[#This Row],[Reach]]</f>
        <v>9.8013194813073475E-3</v>
      </c>
    </row>
    <row r="459" spans="1:19">
      <c r="A459" t="s">
        <v>496</v>
      </c>
      <c r="B459" s="2">
        <v>45935</v>
      </c>
      <c r="C459" t="s">
        <v>36</v>
      </c>
      <c r="D459" t="s">
        <v>30</v>
      </c>
      <c r="E459" t="s">
        <v>27</v>
      </c>
      <c r="F459" t="s">
        <v>28</v>
      </c>
      <c r="G459" t="s">
        <v>38</v>
      </c>
      <c r="H459" s="3">
        <v>89750</v>
      </c>
      <c r="I459" s="3">
        <v>78203</v>
      </c>
      <c r="J459" s="3">
        <v>57120</v>
      </c>
      <c r="K459" s="3">
        <v>992</v>
      </c>
      <c r="L459" s="3">
        <v>161</v>
      </c>
      <c r="M459" s="3">
        <v>168</v>
      </c>
      <c r="N459" s="3">
        <v>192</v>
      </c>
      <c r="O459" s="3">
        <v>348</v>
      </c>
      <c r="P459" s="3"/>
      <c r="Q459" s="3">
        <v>1513</v>
      </c>
      <c r="R459" s="4">
        <v>2.65</v>
      </c>
      <c r="S459" s="6">
        <f>GlowNestSocialTable3[[#This Row],[Link Clicks]]/GlowNestSocialTable3[[#This Row],[Reach]]</f>
        <v>6.092436974789916E-3</v>
      </c>
    </row>
    <row r="460" spans="1:19">
      <c r="A460" t="s">
        <v>497</v>
      </c>
      <c r="B460" s="2">
        <v>45936</v>
      </c>
      <c r="C460" t="s">
        <v>19</v>
      </c>
      <c r="D460" t="s">
        <v>20</v>
      </c>
      <c r="E460" t="s">
        <v>21</v>
      </c>
      <c r="F460" t="s">
        <v>42</v>
      </c>
      <c r="G460" t="s">
        <v>38</v>
      </c>
      <c r="H460" s="3">
        <v>76796</v>
      </c>
      <c r="I460" s="3">
        <v>65077</v>
      </c>
      <c r="J460" s="3">
        <v>57412</v>
      </c>
      <c r="K460" s="3">
        <v>2328</v>
      </c>
      <c r="L460" s="3">
        <v>429</v>
      </c>
      <c r="M460" s="3">
        <v>240</v>
      </c>
      <c r="N460" s="3">
        <v>497</v>
      </c>
      <c r="O460" s="3">
        <v>483</v>
      </c>
      <c r="P460" s="3">
        <v>50863</v>
      </c>
      <c r="Q460" s="3">
        <v>3494</v>
      </c>
      <c r="R460" s="4">
        <v>6.09</v>
      </c>
      <c r="S460" s="6">
        <f>GlowNestSocialTable3[[#This Row],[Link Clicks]]/GlowNestSocialTable3[[#This Row],[Reach]]</f>
        <v>8.4128753570682085E-3</v>
      </c>
    </row>
    <row r="461" spans="1:19">
      <c r="A461" t="s">
        <v>498</v>
      </c>
      <c r="B461" s="2">
        <v>45936</v>
      </c>
      <c r="C461" t="s">
        <v>19</v>
      </c>
      <c r="D461" t="s">
        <v>34</v>
      </c>
      <c r="E461" t="s">
        <v>27</v>
      </c>
      <c r="F461" t="s">
        <v>42</v>
      </c>
      <c r="G461" t="s">
        <v>23</v>
      </c>
      <c r="H461" s="3">
        <v>74881</v>
      </c>
      <c r="I461" s="3">
        <v>31504</v>
      </c>
      <c r="J461" s="3">
        <v>27010</v>
      </c>
      <c r="K461" s="3">
        <v>919</v>
      </c>
      <c r="L461" s="3">
        <v>137</v>
      </c>
      <c r="M461" s="3">
        <v>135</v>
      </c>
      <c r="N461" s="3">
        <v>155</v>
      </c>
      <c r="O461" s="3">
        <v>437</v>
      </c>
      <c r="P461" s="3"/>
      <c r="Q461" s="3">
        <v>1346</v>
      </c>
      <c r="R461" s="4">
        <v>4.9800000000000004</v>
      </c>
      <c r="S461" s="6">
        <f>GlowNestSocialTable3[[#This Row],[Link Clicks]]/GlowNestSocialTable3[[#This Row],[Reach]]</f>
        <v>1.6179192891521657E-2</v>
      </c>
    </row>
    <row r="462" spans="1:19">
      <c r="A462" t="s">
        <v>499</v>
      </c>
      <c r="B462" s="2">
        <v>45937</v>
      </c>
      <c r="C462" t="s">
        <v>19</v>
      </c>
      <c r="D462" t="s">
        <v>20</v>
      </c>
      <c r="E462" t="s">
        <v>46</v>
      </c>
      <c r="F462" t="s">
        <v>22</v>
      </c>
      <c r="G462" t="s">
        <v>23</v>
      </c>
      <c r="H462" s="3">
        <v>75308</v>
      </c>
      <c r="I462" s="3">
        <v>36929</v>
      </c>
      <c r="J462" s="3">
        <v>31110</v>
      </c>
      <c r="K462" s="3">
        <v>1177</v>
      </c>
      <c r="L462" s="3">
        <v>166</v>
      </c>
      <c r="M462" s="3">
        <v>166</v>
      </c>
      <c r="N462" s="3">
        <v>238</v>
      </c>
      <c r="O462" s="3">
        <v>471</v>
      </c>
      <c r="P462" s="3">
        <v>19006</v>
      </c>
      <c r="Q462" s="3">
        <v>1747</v>
      </c>
      <c r="R462" s="4">
        <v>5.62</v>
      </c>
      <c r="S462" s="6">
        <f>GlowNestSocialTable3[[#This Row],[Link Clicks]]/GlowNestSocialTable3[[#This Row],[Reach]]</f>
        <v>1.5139826422372228E-2</v>
      </c>
    </row>
    <row r="463" spans="1:19">
      <c r="A463" t="s">
        <v>500</v>
      </c>
      <c r="B463" s="2">
        <v>45938</v>
      </c>
      <c r="C463" t="s">
        <v>19</v>
      </c>
      <c r="D463" t="s">
        <v>30</v>
      </c>
      <c r="E463" t="s">
        <v>27</v>
      </c>
      <c r="F463" t="s">
        <v>31</v>
      </c>
      <c r="G463" t="s">
        <v>23</v>
      </c>
      <c r="H463" s="3">
        <v>74322</v>
      </c>
      <c r="I463" s="3">
        <v>24053</v>
      </c>
      <c r="J463" s="3">
        <v>19043</v>
      </c>
      <c r="K463" s="3">
        <v>838</v>
      </c>
      <c r="L463" s="3">
        <v>127</v>
      </c>
      <c r="M463" s="3">
        <v>92</v>
      </c>
      <c r="N463" s="3">
        <v>84</v>
      </c>
      <c r="O463" s="3">
        <v>262</v>
      </c>
      <c r="P463" s="3"/>
      <c r="Q463" s="3">
        <v>1141</v>
      </c>
      <c r="R463" s="4">
        <v>5.99</v>
      </c>
      <c r="S463" s="6">
        <f>GlowNestSocialTable3[[#This Row],[Link Clicks]]/GlowNestSocialTable3[[#This Row],[Reach]]</f>
        <v>1.3758336396576169E-2</v>
      </c>
    </row>
    <row r="464" spans="1:19">
      <c r="A464" t="s">
        <v>501</v>
      </c>
      <c r="B464" s="2">
        <v>45938</v>
      </c>
      <c r="C464" t="s">
        <v>36</v>
      </c>
      <c r="D464" t="s">
        <v>20</v>
      </c>
      <c r="E464" t="s">
        <v>21</v>
      </c>
      <c r="F464" t="s">
        <v>22</v>
      </c>
      <c r="G464" t="s">
        <v>23</v>
      </c>
      <c r="H464" s="3">
        <v>89071</v>
      </c>
      <c r="I464" s="3">
        <v>81025</v>
      </c>
      <c r="J464" s="3">
        <v>59922</v>
      </c>
      <c r="K464" s="3">
        <v>1364</v>
      </c>
      <c r="L464" s="3">
        <v>196</v>
      </c>
      <c r="M464" s="3">
        <v>173</v>
      </c>
      <c r="N464" s="3">
        <v>259</v>
      </c>
      <c r="O464" s="3">
        <v>342</v>
      </c>
      <c r="P464" s="3">
        <v>39562</v>
      </c>
      <c r="Q464" s="3">
        <v>1992</v>
      </c>
      <c r="R464" s="4">
        <v>3.32</v>
      </c>
      <c r="S464" s="6">
        <f>GlowNestSocialTable3[[#This Row],[Link Clicks]]/GlowNestSocialTable3[[#This Row],[Reach]]</f>
        <v>5.7074196455392011E-3</v>
      </c>
    </row>
    <row r="465" spans="1:19">
      <c r="A465" t="s">
        <v>502</v>
      </c>
      <c r="B465" s="2">
        <v>45939</v>
      </c>
      <c r="C465" t="s">
        <v>36</v>
      </c>
      <c r="D465" t="s">
        <v>37</v>
      </c>
      <c r="E465" t="s">
        <v>25</v>
      </c>
      <c r="F465" t="s">
        <v>28</v>
      </c>
      <c r="G465" t="s">
        <v>38</v>
      </c>
      <c r="H465" s="3">
        <v>88671</v>
      </c>
      <c r="I465" s="3">
        <v>74794</v>
      </c>
      <c r="J465" s="3">
        <v>68997</v>
      </c>
      <c r="K465" s="3">
        <v>931</v>
      </c>
      <c r="L465" s="3">
        <v>152</v>
      </c>
      <c r="M465" s="3">
        <v>137</v>
      </c>
      <c r="N465" s="3">
        <v>16</v>
      </c>
      <c r="O465" s="3">
        <v>233</v>
      </c>
      <c r="P465" s="3"/>
      <c r="Q465" s="3">
        <v>1236</v>
      </c>
      <c r="R465" s="4">
        <v>1.79</v>
      </c>
      <c r="S465" s="6">
        <f>GlowNestSocialTable3[[#This Row],[Link Clicks]]/GlowNestSocialTable3[[#This Row],[Reach]]</f>
        <v>3.3769584184819628E-3</v>
      </c>
    </row>
    <row r="466" spans="1:19">
      <c r="A466" t="s">
        <v>503</v>
      </c>
      <c r="B466" s="2">
        <v>45939</v>
      </c>
      <c r="C466" t="s">
        <v>36</v>
      </c>
      <c r="D466" t="s">
        <v>20</v>
      </c>
      <c r="E466" t="s">
        <v>25</v>
      </c>
      <c r="F466" t="s">
        <v>42</v>
      </c>
      <c r="G466" t="s">
        <v>23</v>
      </c>
      <c r="H466" s="3">
        <v>86753</v>
      </c>
      <c r="I466" s="3">
        <v>55785</v>
      </c>
      <c r="J466" s="3">
        <v>43232</v>
      </c>
      <c r="K466" s="3">
        <v>720</v>
      </c>
      <c r="L466" s="3">
        <v>96</v>
      </c>
      <c r="M466" s="3">
        <v>73</v>
      </c>
      <c r="N466" s="3">
        <v>69</v>
      </c>
      <c r="O466" s="3">
        <v>168</v>
      </c>
      <c r="P466" s="3">
        <v>30257</v>
      </c>
      <c r="Q466" s="3">
        <v>958</v>
      </c>
      <c r="R466" s="4">
        <v>2.2200000000000002</v>
      </c>
      <c r="S466" s="6">
        <f>GlowNestSocialTable3[[#This Row],[Link Clicks]]/GlowNestSocialTable3[[#This Row],[Reach]]</f>
        <v>3.8860103626943004E-3</v>
      </c>
    </row>
    <row r="467" spans="1:19">
      <c r="A467" t="s">
        <v>504</v>
      </c>
      <c r="B467" s="2">
        <v>45940</v>
      </c>
      <c r="C467" t="s">
        <v>33</v>
      </c>
      <c r="D467" t="s">
        <v>20</v>
      </c>
      <c r="E467" t="s">
        <v>49</v>
      </c>
      <c r="F467" t="s">
        <v>22</v>
      </c>
      <c r="G467" t="s">
        <v>23</v>
      </c>
      <c r="H467" s="3">
        <v>34193</v>
      </c>
      <c r="I467" s="3">
        <v>13414</v>
      </c>
      <c r="J467" s="3">
        <v>9874</v>
      </c>
      <c r="K467" s="3">
        <v>327</v>
      </c>
      <c r="L467" s="3">
        <v>55</v>
      </c>
      <c r="M467" s="3">
        <v>61</v>
      </c>
      <c r="N467" s="3">
        <v>97</v>
      </c>
      <c r="O467" s="3">
        <v>86</v>
      </c>
      <c r="P467" s="3">
        <v>6748</v>
      </c>
      <c r="Q467" s="3">
        <v>540</v>
      </c>
      <c r="R467" s="4">
        <v>5.47</v>
      </c>
      <c r="S467" s="6">
        <f>GlowNestSocialTable3[[#This Row],[Link Clicks]]/GlowNestSocialTable3[[#This Row],[Reach]]</f>
        <v>8.7097427587603804E-3</v>
      </c>
    </row>
    <row r="468" spans="1:19">
      <c r="A468" t="s">
        <v>505</v>
      </c>
      <c r="B468" s="2">
        <v>45941</v>
      </c>
      <c r="C468" t="s">
        <v>33</v>
      </c>
      <c r="D468" t="s">
        <v>506</v>
      </c>
      <c r="E468" t="s">
        <v>49</v>
      </c>
      <c r="F468" t="s">
        <v>31</v>
      </c>
      <c r="G468" t="s">
        <v>23</v>
      </c>
      <c r="H468" s="3">
        <v>36713</v>
      </c>
      <c r="I468" s="3">
        <v>11428</v>
      </c>
      <c r="J468" s="3">
        <v>8140</v>
      </c>
      <c r="K468" s="3">
        <v>141</v>
      </c>
      <c r="L468" s="3">
        <v>26</v>
      </c>
      <c r="M468" s="3">
        <v>24</v>
      </c>
      <c r="N468" s="3">
        <v>20</v>
      </c>
      <c r="O468" s="3">
        <v>104</v>
      </c>
      <c r="P468" s="3"/>
      <c r="Q468" s="3">
        <v>211</v>
      </c>
      <c r="R468" s="4">
        <v>2.59</v>
      </c>
      <c r="S468" s="6">
        <f>GlowNestSocialTable3[[#This Row],[Link Clicks]]/GlowNestSocialTable3[[#This Row],[Reach]]</f>
        <v>1.2776412776412777E-2</v>
      </c>
    </row>
    <row r="469" spans="1:19">
      <c r="A469" t="s">
        <v>507</v>
      </c>
      <c r="B469" s="2">
        <v>45941</v>
      </c>
      <c r="C469" t="s">
        <v>36</v>
      </c>
      <c r="D469" t="s">
        <v>37</v>
      </c>
      <c r="E469" t="s">
        <v>25</v>
      </c>
      <c r="F469" t="s">
        <v>31</v>
      </c>
      <c r="G469" t="s">
        <v>23</v>
      </c>
      <c r="H469" s="3">
        <v>87328</v>
      </c>
      <c r="I469" s="3">
        <v>48393</v>
      </c>
      <c r="J469" s="3">
        <v>43809</v>
      </c>
      <c r="K469" s="3">
        <v>527</v>
      </c>
      <c r="L469" s="3">
        <v>93</v>
      </c>
      <c r="M469" s="3">
        <v>89</v>
      </c>
      <c r="N469" s="3">
        <v>90</v>
      </c>
      <c r="O469" s="3">
        <v>212</v>
      </c>
      <c r="P469" s="3"/>
      <c r="Q469" s="3">
        <v>799</v>
      </c>
      <c r="R469" s="4">
        <v>1.82</v>
      </c>
      <c r="S469" s="6">
        <f>GlowNestSocialTable3[[#This Row],[Link Clicks]]/GlowNestSocialTable3[[#This Row],[Reach]]</f>
        <v>4.8391882946426535E-3</v>
      </c>
    </row>
    <row r="470" spans="1:19">
      <c r="A470" t="s">
        <v>508</v>
      </c>
      <c r="B470" s="2">
        <v>45942</v>
      </c>
      <c r="C470" t="s">
        <v>19</v>
      </c>
      <c r="D470" t="s">
        <v>20</v>
      </c>
      <c r="E470" t="s">
        <v>25</v>
      </c>
      <c r="F470" t="s">
        <v>28</v>
      </c>
      <c r="G470" t="s">
        <v>23</v>
      </c>
      <c r="H470" s="3">
        <v>72524</v>
      </c>
      <c r="I470" s="3">
        <v>43726</v>
      </c>
      <c r="J470" s="3">
        <v>35676</v>
      </c>
      <c r="K470" s="3">
        <v>1449</v>
      </c>
      <c r="L470" s="3">
        <v>142</v>
      </c>
      <c r="M470" s="3">
        <v>164</v>
      </c>
      <c r="N470" s="3">
        <v>160</v>
      </c>
      <c r="O470" s="3">
        <v>277</v>
      </c>
      <c r="P470" s="3">
        <v>26553</v>
      </c>
      <c r="Q470" s="3">
        <v>1915</v>
      </c>
      <c r="R470" s="4">
        <v>5.37</v>
      </c>
      <c r="S470" s="6">
        <f>GlowNestSocialTable3[[#This Row],[Link Clicks]]/GlowNestSocialTable3[[#This Row],[Reach]]</f>
        <v>7.7643233546361703E-3</v>
      </c>
    </row>
    <row r="471" spans="1:19">
      <c r="A471" t="s">
        <v>509</v>
      </c>
      <c r="B471" s="2">
        <v>45943</v>
      </c>
      <c r="C471" t="s">
        <v>19</v>
      </c>
      <c r="D471" t="s">
        <v>20</v>
      </c>
      <c r="E471" t="s">
        <v>49</v>
      </c>
      <c r="F471" t="s">
        <v>22</v>
      </c>
      <c r="G471" t="s">
        <v>23</v>
      </c>
      <c r="H471" s="3">
        <v>73755</v>
      </c>
      <c r="I471" s="3">
        <v>45617</v>
      </c>
      <c r="J471" s="3">
        <v>32238</v>
      </c>
      <c r="K471" s="3">
        <v>1300</v>
      </c>
      <c r="L471" s="3">
        <v>209</v>
      </c>
      <c r="M471" s="3">
        <v>225</v>
      </c>
      <c r="N471" s="3">
        <v>400</v>
      </c>
      <c r="O471" s="3">
        <v>311</v>
      </c>
      <c r="P471" s="3">
        <v>26154</v>
      </c>
      <c r="Q471" s="3">
        <v>2134</v>
      </c>
      <c r="R471" s="4">
        <v>6.62</v>
      </c>
      <c r="S471" s="6">
        <f>GlowNestSocialTable3[[#This Row],[Link Clicks]]/GlowNestSocialTable3[[#This Row],[Reach]]</f>
        <v>9.6470004342701157E-3</v>
      </c>
    </row>
    <row r="472" spans="1:19">
      <c r="A472" t="s">
        <v>510</v>
      </c>
      <c r="B472" s="2">
        <v>45943</v>
      </c>
      <c r="C472" t="s">
        <v>36</v>
      </c>
      <c r="D472" t="s">
        <v>34</v>
      </c>
      <c r="E472" t="s">
        <v>46</v>
      </c>
      <c r="F472" t="s">
        <v>31</v>
      </c>
      <c r="G472" t="s">
        <v>23</v>
      </c>
      <c r="H472" s="3">
        <v>90309</v>
      </c>
      <c r="I472" s="3">
        <v>27507</v>
      </c>
      <c r="J472" s="3">
        <v>23715</v>
      </c>
      <c r="K472" s="3">
        <v>243</v>
      </c>
      <c r="L472" s="3">
        <v>27</v>
      </c>
      <c r="M472" s="3">
        <v>45</v>
      </c>
      <c r="N472" s="3">
        <v>43</v>
      </c>
      <c r="O472" s="3">
        <v>157</v>
      </c>
      <c r="P472" s="3"/>
      <c r="Q472" s="3">
        <v>358</v>
      </c>
      <c r="R472" s="4">
        <v>1.51</v>
      </c>
      <c r="S472" s="6">
        <f>GlowNestSocialTable3[[#This Row],[Link Clicks]]/GlowNestSocialTable3[[#This Row],[Reach]]</f>
        <v>6.6202825216107953E-3</v>
      </c>
    </row>
    <row r="473" spans="1:19">
      <c r="A473" t="s">
        <v>511</v>
      </c>
      <c r="B473" s="2">
        <v>45944</v>
      </c>
      <c r="C473" t="s">
        <v>19</v>
      </c>
      <c r="D473" t="s">
        <v>20</v>
      </c>
      <c r="E473" t="s">
        <v>25</v>
      </c>
      <c r="F473" t="s">
        <v>42</v>
      </c>
      <c r="G473" t="s">
        <v>23</v>
      </c>
      <c r="H473" s="3">
        <v>74124</v>
      </c>
      <c r="I473" s="3">
        <v>51267</v>
      </c>
      <c r="J473" s="3">
        <v>39038</v>
      </c>
      <c r="K473" s="3">
        <v>1456</v>
      </c>
      <c r="L473" s="3">
        <v>217</v>
      </c>
      <c r="M473" s="3">
        <v>228</v>
      </c>
      <c r="N473" s="3">
        <v>324</v>
      </c>
      <c r="O473" s="3">
        <v>349</v>
      </c>
      <c r="P473" s="3">
        <v>22111</v>
      </c>
      <c r="Q473" s="3">
        <v>2225</v>
      </c>
      <c r="R473" s="4">
        <v>5.7</v>
      </c>
      <c r="S473" s="6">
        <f>GlowNestSocialTable3[[#This Row],[Link Clicks]]/GlowNestSocialTable3[[#This Row],[Reach]]</f>
        <v>8.9400071724985916E-3</v>
      </c>
    </row>
    <row r="474" spans="1:19">
      <c r="A474" t="s">
        <v>512</v>
      </c>
      <c r="B474" s="2">
        <v>45944</v>
      </c>
      <c r="C474" t="s">
        <v>513</v>
      </c>
      <c r="D474" t="s">
        <v>20</v>
      </c>
      <c r="E474" t="s">
        <v>27</v>
      </c>
      <c r="F474" t="s">
        <v>31</v>
      </c>
      <c r="G474" t="s">
        <v>23</v>
      </c>
      <c r="H474" s="3">
        <v>88004</v>
      </c>
      <c r="I474" s="3">
        <v>94039</v>
      </c>
      <c r="J474" s="3">
        <v>62616</v>
      </c>
      <c r="K474" s="3">
        <v>1564</v>
      </c>
      <c r="L474" s="3">
        <v>295</v>
      </c>
      <c r="M474" s="3">
        <v>143</v>
      </c>
      <c r="N474" s="3">
        <v>612</v>
      </c>
      <c r="O474" s="3">
        <v>417</v>
      </c>
      <c r="P474" s="3">
        <v>38422</v>
      </c>
      <c r="Q474" s="3">
        <v>2614</v>
      </c>
      <c r="R474" s="4">
        <v>4.17</v>
      </c>
      <c r="S474" s="6">
        <f>GlowNestSocialTable3[[#This Row],[Link Clicks]]/GlowNestSocialTable3[[#This Row],[Reach]]</f>
        <v>6.6596397087006513E-3</v>
      </c>
    </row>
    <row r="475" spans="1:19">
      <c r="A475" t="s">
        <v>514</v>
      </c>
      <c r="B475" s="2">
        <v>45945</v>
      </c>
      <c r="C475" t="s">
        <v>19</v>
      </c>
      <c r="D475" t="s">
        <v>20</v>
      </c>
      <c r="E475" t="s">
        <v>21</v>
      </c>
      <c r="F475" t="s">
        <v>42</v>
      </c>
      <c r="G475" t="s">
        <v>23</v>
      </c>
      <c r="H475" s="3">
        <v>74906</v>
      </c>
      <c r="I475" s="3">
        <v>34862</v>
      </c>
      <c r="J475" s="3">
        <v>25108</v>
      </c>
      <c r="K475" s="3">
        <v>1655</v>
      </c>
      <c r="L475" s="3">
        <v>183</v>
      </c>
      <c r="M475" s="3">
        <v>221</v>
      </c>
      <c r="N475" s="3">
        <v>195</v>
      </c>
      <c r="O475" s="3">
        <v>332</v>
      </c>
      <c r="P475" s="3">
        <v>18898</v>
      </c>
      <c r="Q475" s="3">
        <v>2254</v>
      </c>
      <c r="R475" s="4">
        <v>8.98</v>
      </c>
      <c r="S475" s="6">
        <f>GlowNestSocialTable3[[#This Row],[Link Clicks]]/GlowNestSocialTable3[[#This Row],[Reach]]</f>
        <v>1.3222877170622909E-2</v>
      </c>
    </row>
    <row r="476" spans="1:19">
      <c r="A476" t="s">
        <v>515</v>
      </c>
      <c r="B476" s="2">
        <v>45946</v>
      </c>
      <c r="C476" t="s">
        <v>19</v>
      </c>
      <c r="D476" t="s">
        <v>37</v>
      </c>
      <c r="E476" t="s">
        <v>46</v>
      </c>
      <c r="F476" t="s">
        <v>44</v>
      </c>
      <c r="G476" t="s">
        <v>23</v>
      </c>
      <c r="H476" s="3">
        <v>73771</v>
      </c>
      <c r="I476" s="3">
        <v>34365</v>
      </c>
      <c r="J476" s="3">
        <v>25605</v>
      </c>
      <c r="K476" s="3">
        <v>969</v>
      </c>
      <c r="L476" s="3">
        <v>124</v>
      </c>
      <c r="M476" s="3">
        <v>100</v>
      </c>
      <c r="N476" s="3">
        <v>159</v>
      </c>
      <c r="O476" s="3">
        <v>253</v>
      </c>
      <c r="P476" s="3"/>
      <c r="Q476" s="3">
        <v>1352</v>
      </c>
      <c r="R476" s="4">
        <v>5.28</v>
      </c>
      <c r="S476" s="6">
        <f>GlowNestSocialTable3[[#This Row],[Link Clicks]]/GlowNestSocialTable3[[#This Row],[Reach]]</f>
        <v>9.8808826401093532E-3</v>
      </c>
    </row>
    <row r="477" spans="1:19">
      <c r="A477" t="s">
        <v>516</v>
      </c>
      <c r="B477" s="2">
        <v>45946</v>
      </c>
      <c r="C477" t="s">
        <v>36</v>
      </c>
      <c r="D477" t="s">
        <v>20</v>
      </c>
      <c r="E477" t="s">
        <v>25</v>
      </c>
      <c r="F477" t="s">
        <v>44</v>
      </c>
      <c r="G477" t="s">
        <v>38</v>
      </c>
      <c r="H477" s="3">
        <v>87344</v>
      </c>
      <c r="I477" s="3">
        <v>130152</v>
      </c>
      <c r="J477" s="3">
        <v>91387</v>
      </c>
      <c r="K477" s="3">
        <v>847</v>
      </c>
      <c r="L477" s="3">
        <v>126</v>
      </c>
      <c r="M477" s="3">
        <v>96</v>
      </c>
      <c r="N477" s="3">
        <v>252</v>
      </c>
      <c r="O477" s="3">
        <v>331</v>
      </c>
      <c r="P477" s="3">
        <v>55369</v>
      </c>
      <c r="Q477" s="3">
        <v>1321</v>
      </c>
      <c r="R477" s="4">
        <v>1.45</v>
      </c>
      <c r="S477" s="6">
        <f>GlowNestSocialTable3[[#This Row],[Link Clicks]]/GlowNestSocialTable3[[#This Row],[Reach]]</f>
        <v>3.6219593596463393E-3</v>
      </c>
    </row>
    <row r="478" spans="1:19">
      <c r="A478" t="s">
        <v>517</v>
      </c>
      <c r="B478" s="2">
        <v>45947</v>
      </c>
      <c r="C478" t="s">
        <v>19</v>
      </c>
      <c r="D478" t="s">
        <v>37</v>
      </c>
      <c r="E478" t="s">
        <v>25</v>
      </c>
      <c r="F478" t="s">
        <v>22</v>
      </c>
      <c r="G478" t="s">
        <v>38</v>
      </c>
      <c r="H478" s="3">
        <v>73123</v>
      </c>
      <c r="I478" s="3">
        <v>45330</v>
      </c>
      <c r="J478" s="3">
        <v>39314</v>
      </c>
      <c r="K478" s="3">
        <v>1155</v>
      </c>
      <c r="L478" s="3">
        <v>133</v>
      </c>
      <c r="M478" s="3">
        <v>120</v>
      </c>
      <c r="N478" s="3">
        <v>248</v>
      </c>
      <c r="O478" s="3">
        <v>344</v>
      </c>
      <c r="P478" s="3"/>
      <c r="Q478" s="3">
        <v>1656</v>
      </c>
      <c r="R478" s="4">
        <v>4.21</v>
      </c>
      <c r="S478" s="6">
        <f>GlowNestSocialTable3[[#This Row],[Link Clicks]]/GlowNestSocialTable3[[#This Row],[Reach]]</f>
        <v>8.7500635905784201E-3</v>
      </c>
    </row>
    <row r="479" spans="1:19">
      <c r="A479" t="s">
        <v>518</v>
      </c>
      <c r="B479" s="2">
        <v>45947</v>
      </c>
      <c r="C479" t="s">
        <v>19</v>
      </c>
      <c r="D479" t="s">
        <v>20</v>
      </c>
      <c r="E479" t="s">
        <v>46</v>
      </c>
      <c r="F479" t="s">
        <v>31</v>
      </c>
      <c r="G479" t="s">
        <v>23</v>
      </c>
      <c r="H479" s="3">
        <v>77294</v>
      </c>
      <c r="I479" s="3">
        <v>35037</v>
      </c>
      <c r="J479" s="3">
        <v>30536</v>
      </c>
      <c r="K479" s="3">
        <v>1121</v>
      </c>
      <c r="L479" s="3">
        <v>147</v>
      </c>
      <c r="M479" s="3">
        <v>158</v>
      </c>
      <c r="N479" s="3">
        <v>389</v>
      </c>
      <c r="O479" s="3">
        <v>356</v>
      </c>
      <c r="P479" s="3">
        <v>26906</v>
      </c>
      <c r="Q479" s="3">
        <v>1815</v>
      </c>
      <c r="R479" s="4">
        <v>5.94</v>
      </c>
      <c r="S479" s="6">
        <f>GlowNestSocialTable3[[#This Row],[Link Clicks]]/GlowNestSocialTable3[[#This Row],[Reach]]</f>
        <v>1.1658370447995808E-2</v>
      </c>
    </row>
    <row r="480" spans="1:19">
      <c r="A480" t="s">
        <v>519</v>
      </c>
      <c r="B480" s="2">
        <v>45948</v>
      </c>
      <c r="C480" t="s">
        <v>36</v>
      </c>
      <c r="D480" t="s">
        <v>34</v>
      </c>
      <c r="E480" t="s">
        <v>21</v>
      </c>
      <c r="F480" t="s">
        <v>42</v>
      </c>
      <c r="G480" t="s">
        <v>23</v>
      </c>
      <c r="H480" s="3">
        <v>91884</v>
      </c>
      <c r="I480" s="3">
        <v>37810</v>
      </c>
      <c r="J480" s="3">
        <v>32668</v>
      </c>
      <c r="K480" s="3">
        <v>349</v>
      </c>
      <c r="L480" s="3">
        <v>48</v>
      </c>
      <c r="M480" s="3">
        <v>57</v>
      </c>
      <c r="N480" s="3">
        <v>39</v>
      </c>
      <c r="O480" s="3">
        <v>213</v>
      </c>
      <c r="P480" s="3"/>
      <c r="Q480" s="3">
        <v>493</v>
      </c>
      <c r="R480" s="4">
        <v>1.51</v>
      </c>
      <c r="S480" s="6">
        <f>GlowNestSocialTable3[[#This Row],[Link Clicks]]/GlowNestSocialTable3[[#This Row],[Reach]]</f>
        <v>6.5201420350189786E-3</v>
      </c>
    </row>
    <row r="481" spans="1:19">
      <c r="A481" t="s">
        <v>520</v>
      </c>
      <c r="B481" s="2">
        <v>45949</v>
      </c>
      <c r="C481" t="s">
        <v>19</v>
      </c>
      <c r="D481" t="s">
        <v>30</v>
      </c>
      <c r="E481" t="s">
        <v>25</v>
      </c>
      <c r="F481" t="s">
        <v>31</v>
      </c>
      <c r="G481" t="s">
        <v>23</v>
      </c>
      <c r="H481" s="3">
        <v>72779</v>
      </c>
      <c r="I481" s="3">
        <v>22870</v>
      </c>
      <c r="J481" s="3">
        <v>20909</v>
      </c>
      <c r="K481" s="3">
        <v>364</v>
      </c>
      <c r="L481" s="3">
        <v>43</v>
      </c>
      <c r="M481" s="3">
        <v>52</v>
      </c>
      <c r="N481" s="3">
        <v>50</v>
      </c>
      <c r="O481" s="3">
        <v>120</v>
      </c>
      <c r="P481" s="3"/>
      <c r="Q481" s="3">
        <v>509</v>
      </c>
      <c r="R481" s="4">
        <v>2.4300000000000002</v>
      </c>
      <c r="S481" s="6">
        <f>GlowNestSocialTable3[[#This Row],[Link Clicks]]/GlowNestSocialTable3[[#This Row],[Reach]]</f>
        <v>5.7391553876321201E-3</v>
      </c>
    </row>
    <row r="482" spans="1:19">
      <c r="A482" t="s">
        <v>521</v>
      </c>
      <c r="B482" s="2">
        <v>45949</v>
      </c>
      <c r="C482" t="s">
        <v>36</v>
      </c>
      <c r="D482" t="s">
        <v>34</v>
      </c>
      <c r="E482" t="s">
        <v>27</v>
      </c>
      <c r="F482" t="s">
        <v>22</v>
      </c>
      <c r="G482" t="s">
        <v>23</v>
      </c>
      <c r="H482" s="3">
        <v>90134</v>
      </c>
      <c r="I482" s="3">
        <v>49743</v>
      </c>
      <c r="J482" s="3">
        <v>35002</v>
      </c>
      <c r="K482" s="3">
        <v>496</v>
      </c>
      <c r="L482" s="3">
        <v>57</v>
      </c>
      <c r="M482" s="3">
        <v>47</v>
      </c>
      <c r="N482" s="3">
        <v>147</v>
      </c>
      <c r="O482" s="3">
        <v>222</v>
      </c>
      <c r="P482" s="3"/>
      <c r="Q482" s="3">
        <v>747</v>
      </c>
      <c r="R482" s="4">
        <v>2.13</v>
      </c>
      <c r="S482" s="6">
        <f>GlowNestSocialTable3[[#This Row],[Link Clicks]]/GlowNestSocialTable3[[#This Row],[Reach]]</f>
        <v>6.3424947145877377E-3</v>
      </c>
    </row>
    <row r="483" spans="1:19">
      <c r="A483" t="s">
        <v>522</v>
      </c>
      <c r="B483" s="2">
        <v>45950</v>
      </c>
      <c r="C483" t="s">
        <v>19</v>
      </c>
      <c r="D483" t="s">
        <v>37</v>
      </c>
      <c r="E483" t="s">
        <v>21</v>
      </c>
      <c r="F483" t="s">
        <v>31</v>
      </c>
      <c r="G483" t="s">
        <v>23</v>
      </c>
      <c r="H483" s="3">
        <v>74605</v>
      </c>
      <c r="I483" s="3">
        <v>30110</v>
      </c>
      <c r="J483" s="3">
        <v>23663</v>
      </c>
      <c r="K483" s="3">
        <v>974</v>
      </c>
      <c r="L483" s="3">
        <v>174</v>
      </c>
      <c r="M483" s="3">
        <v>87</v>
      </c>
      <c r="N483" s="3">
        <v>236</v>
      </c>
      <c r="O483" s="3">
        <v>259</v>
      </c>
      <c r="P483" s="3"/>
      <c r="Q483" s="3">
        <v>1471</v>
      </c>
      <c r="R483" s="4">
        <v>6.22</v>
      </c>
      <c r="S483" s="6">
        <f>GlowNestSocialTable3[[#This Row],[Link Clicks]]/GlowNestSocialTable3[[#This Row],[Reach]]</f>
        <v>1.0945357731479526E-2</v>
      </c>
    </row>
    <row r="484" spans="1:19">
      <c r="A484" t="s">
        <v>523</v>
      </c>
      <c r="B484" s="2">
        <v>45950</v>
      </c>
      <c r="C484" t="s">
        <v>19</v>
      </c>
      <c r="D484" t="s">
        <v>405</v>
      </c>
      <c r="E484" t="s">
        <v>46</v>
      </c>
      <c r="F484" t="s">
        <v>44</v>
      </c>
      <c r="G484" t="s">
        <v>23</v>
      </c>
      <c r="H484" s="3">
        <v>74440</v>
      </c>
      <c r="I484" s="3">
        <v>26407</v>
      </c>
      <c r="J484" s="3">
        <v>20640</v>
      </c>
      <c r="K484" s="3">
        <v>815</v>
      </c>
      <c r="L484" s="3">
        <v>121</v>
      </c>
      <c r="M484" s="3">
        <v>125</v>
      </c>
      <c r="N484" s="3">
        <v>28</v>
      </c>
      <c r="O484" s="3">
        <v>252</v>
      </c>
      <c r="P484" s="3"/>
      <c r="Q484" s="3">
        <v>1089</v>
      </c>
      <c r="R484" s="4">
        <v>5.28</v>
      </c>
      <c r="S484" s="6">
        <f>GlowNestSocialTable3[[#This Row],[Link Clicks]]/GlowNestSocialTable3[[#This Row],[Reach]]</f>
        <v>1.2209302325581395E-2</v>
      </c>
    </row>
    <row r="485" spans="1:19">
      <c r="A485" t="s">
        <v>524</v>
      </c>
      <c r="B485" s="2">
        <v>45951</v>
      </c>
      <c r="C485" t="s">
        <v>33</v>
      </c>
      <c r="D485" t="s">
        <v>20</v>
      </c>
      <c r="E485" t="s">
        <v>46</v>
      </c>
      <c r="F485" t="s">
        <v>28</v>
      </c>
      <c r="G485" t="s">
        <v>23</v>
      </c>
      <c r="H485" s="3">
        <v>33905</v>
      </c>
      <c r="I485" s="3">
        <v>15601</v>
      </c>
      <c r="J485" s="3">
        <v>11111</v>
      </c>
      <c r="K485" s="3">
        <v>366</v>
      </c>
      <c r="L485" s="3">
        <v>59</v>
      </c>
      <c r="M485" s="3">
        <v>45</v>
      </c>
      <c r="N485" s="3">
        <v>30</v>
      </c>
      <c r="O485" s="3">
        <v>152</v>
      </c>
      <c r="P485" s="3">
        <v>7497</v>
      </c>
      <c r="Q485" s="3">
        <v>500</v>
      </c>
      <c r="R485" s="4">
        <v>4.5</v>
      </c>
      <c r="S485" s="6">
        <f>GlowNestSocialTable3[[#This Row],[Link Clicks]]/GlowNestSocialTable3[[#This Row],[Reach]]</f>
        <v>1.3680136801368014E-2</v>
      </c>
    </row>
    <row r="486" spans="1:19">
      <c r="A486" t="s">
        <v>525</v>
      </c>
      <c r="B486" s="2">
        <v>45952</v>
      </c>
      <c r="C486" t="s">
        <v>36</v>
      </c>
      <c r="D486" t="s">
        <v>37</v>
      </c>
      <c r="E486" t="s">
        <v>27</v>
      </c>
      <c r="F486" t="s">
        <v>22</v>
      </c>
      <c r="G486" t="s">
        <v>23</v>
      </c>
      <c r="H486" s="3">
        <v>90774</v>
      </c>
      <c r="I486" s="3">
        <v>55533</v>
      </c>
      <c r="J486" s="3">
        <v>44790</v>
      </c>
      <c r="K486" s="3">
        <v>1217</v>
      </c>
      <c r="L486" s="3">
        <v>203</v>
      </c>
      <c r="M486" s="3">
        <v>161</v>
      </c>
      <c r="N486" s="3">
        <v>100</v>
      </c>
      <c r="O486" s="3">
        <v>217</v>
      </c>
      <c r="P486" s="3"/>
      <c r="Q486" s="3">
        <v>1681</v>
      </c>
      <c r="R486" s="4">
        <v>3.75</v>
      </c>
      <c r="S486" s="6">
        <f>GlowNestSocialTable3[[#This Row],[Link Clicks]]/GlowNestSocialTable3[[#This Row],[Reach]]</f>
        <v>4.8448314355883006E-3</v>
      </c>
    </row>
    <row r="487" spans="1:19">
      <c r="A487" t="s">
        <v>526</v>
      </c>
      <c r="B487" s="2">
        <v>45952</v>
      </c>
      <c r="C487" t="s">
        <v>36</v>
      </c>
      <c r="D487" t="s">
        <v>34</v>
      </c>
      <c r="E487" t="s">
        <v>25</v>
      </c>
      <c r="F487" t="s">
        <v>28</v>
      </c>
      <c r="G487" t="s">
        <v>23</v>
      </c>
      <c r="H487" s="3">
        <v>91070</v>
      </c>
      <c r="I487" s="3">
        <v>45233</v>
      </c>
      <c r="J487" s="3">
        <v>29290</v>
      </c>
      <c r="K487" s="3">
        <v>192</v>
      </c>
      <c r="L487" s="3">
        <v>29</v>
      </c>
      <c r="M487" s="3">
        <v>33</v>
      </c>
      <c r="N487" s="3">
        <v>22</v>
      </c>
      <c r="O487" s="3">
        <v>125</v>
      </c>
      <c r="P487" s="3"/>
      <c r="Q487" s="3">
        <v>276</v>
      </c>
      <c r="R487" s="4">
        <v>0.94</v>
      </c>
      <c r="S487" s="6">
        <f>GlowNestSocialTable3[[#This Row],[Link Clicks]]/GlowNestSocialTable3[[#This Row],[Reach]]</f>
        <v>4.2676681461249573E-3</v>
      </c>
    </row>
    <row r="488" spans="1:19">
      <c r="A488" t="s">
        <v>527</v>
      </c>
      <c r="B488" s="2">
        <v>45953</v>
      </c>
      <c r="C488" t="s">
        <v>36</v>
      </c>
      <c r="D488" t="s">
        <v>20</v>
      </c>
      <c r="E488" t="s">
        <v>27</v>
      </c>
      <c r="F488" t="s">
        <v>31</v>
      </c>
      <c r="G488" t="s">
        <v>23</v>
      </c>
      <c r="H488" s="3">
        <v>90271</v>
      </c>
      <c r="I488" s="3">
        <v>86404</v>
      </c>
      <c r="J488" s="3">
        <v>66420</v>
      </c>
      <c r="K488" s="3">
        <v>1963</v>
      </c>
      <c r="L488" s="3">
        <v>277</v>
      </c>
      <c r="M488" s="3">
        <v>292</v>
      </c>
      <c r="N488" s="3">
        <v>644</v>
      </c>
      <c r="O488" s="3">
        <v>308</v>
      </c>
      <c r="P488" s="3">
        <v>49626</v>
      </c>
      <c r="Q488" s="3">
        <v>3176</v>
      </c>
      <c r="R488" s="4">
        <v>4.78</v>
      </c>
      <c r="S488" s="6">
        <f>GlowNestSocialTable3[[#This Row],[Link Clicks]]/GlowNestSocialTable3[[#This Row],[Reach]]</f>
        <v>4.6371574826859384E-3</v>
      </c>
    </row>
    <row r="489" spans="1:19">
      <c r="A489" t="s">
        <v>528</v>
      </c>
      <c r="B489" s="2">
        <v>45953</v>
      </c>
      <c r="C489" t="s">
        <v>36</v>
      </c>
      <c r="D489" t="s">
        <v>30</v>
      </c>
      <c r="E489" t="s">
        <v>21</v>
      </c>
      <c r="F489" t="s">
        <v>44</v>
      </c>
      <c r="G489" t="s">
        <v>23</v>
      </c>
      <c r="H489" s="3">
        <v>90501</v>
      </c>
      <c r="I489" s="3">
        <v>39656</v>
      </c>
      <c r="J489" s="3">
        <v>29418</v>
      </c>
      <c r="K489" s="3">
        <v>343</v>
      </c>
      <c r="L489" s="3">
        <v>49</v>
      </c>
      <c r="M489" s="3">
        <v>49</v>
      </c>
      <c r="N489" s="3">
        <v>28</v>
      </c>
      <c r="O489" s="3">
        <v>153</v>
      </c>
      <c r="P489" s="3"/>
      <c r="Q489" s="3">
        <v>469</v>
      </c>
      <c r="R489" s="4">
        <v>1.59</v>
      </c>
      <c r="S489" s="6">
        <f>GlowNestSocialTable3[[#This Row],[Link Clicks]]/GlowNestSocialTable3[[#This Row],[Reach]]</f>
        <v>5.2008974097491334E-3</v>
      </c>
    </row>
    <row r="490" spans="1:19">
      <c r="A490" t="s">
        <v>529</v>
      </c>
      <c r="B490" s="2">
        <v>45954</v>
      </c>
      <c r="C490" t="s">
        <v>19</v>
      </c>
      <c r="D490" t="s">
        <v>20</v>
      </c>
      <c r="E490" t="s">
        <v>25</v>
      </c>
      <c r="G490" t="s">
        <v>23</v>
      </c>
      <c r="H490" s="3">
        <v>75476</v>
      </c>
      <c r="I490" s="3">
        <v>33599</v>
      </c>
      <c r="J490" s="3">
        <v>28444</v>
      </c>
      <c r="K490" s="3">
        <v>751</v>
      </c>
      <c r="L490" s="3">
        <v>85</v>
      </c>
      <c r="M490" s="3">
        <v>96</v>
      </c>
      <c r="N490" s="3">
        <v>158</v>
      </c>
      <c r="O490" s="3">
        <v>281</v>
      </c>
      <c r="P490" s="3">
        <v>16902</v>
      </c>
      <c r="Q490" s="3">
        <v>1090</v>
      </c>
      <c r="R490" s="4">
        <v>3.83</v>
      </c>
      <c r="S490" s="6">
        <f>GlowNestSocialTable3[[#This Row],[Link Clicks]]/GlowNestSocialTable3[[#This Row],[Reach]]</f>
        <v>9.8790606103220362E-3</v>
      </c>
    </row>
    <row r="491" spans="1:19">
      <c r="A491" t="s">
        <v>530</v>
      </c>
      <c r="B491" s="2">
        <v>45955</v>
      </c>
      <c r="C491" t="s">
        <v>19</v>
      </c>
      <c r="D491" t="s">
        <v>37</v>
      </c>
      <c r="E491" t="s">
        <v>46</v>
      </c>
      <c r="F491" t="s">
        <v>42</v>
      </c>
      <c r="G491" t="s">
        <v>23</v>
      </c>
      <c r="H491" s="3">
        <v>75509</v>
      </c>
      <c r="I491" s="3">
        <v>25684</v>
      </c>
      <c r="J491" s="3">
        <v>22294</v>
      </c>
      <c r="K491" s="3">
        <v>1015</v>
      </c>
      <c r="L491" s="3">
        <v>140</v>
      </c>
      <c r="M491" s="3">
        <v>91</v>
      </c>
      <c r="N491" s="3">
        <v>220</v>
      </c>
      <c r="O491" s="3">
        <v>282</v>
      </c>
      <c r="P491" s="3"/>
      <c r="Q491" s="3">
        <v>1466</v>
      </c>
      <c r="R491" s="4">
        <v>6.58</v>
      </c>
      <c r="S491" s="6">
        <f>GlowNestSocialTable3[[#This Row],[Link Clicks]]/GlowNestSocialTable3[[#This Row],[Reach]]</f>
        <v>1.2649143267246792E-2</v>
      </c>
    </row>
    <row r="492" spans="1:19">
      <c r="A492" t="s">
        <v>531</v>
      </c>
      <c r="B492" s="2">
        <v>45955</v>
      </c>
      <c r="C492" t="s">
        <v>36</v>
      </c>
      <c r="D492" t="s">
        <v>20</v>
      </c>
      <c r="E492" t="s">
        <v>21</v>
      </c>
      <c r="F492" t="s">
        <v>44</v>
      </c>
      <c r="G492" t="s">
        <v>23</v>
      </c>
      <c r="H492" s="3">
        <v>89595</v>
      </c>
      <c r="I492" s="3">
        <v>58526</v>
      </c>
      <c r="J492" s="3">
        <v>53393</v>
      </c>
      <c r="K492" s="3">
        <v>1359</v>
      </c>
      <c r="L492" s="3">
        <v>207</v>
      </c>
      <c r="M492" s="3">
        <v>177</v>
      </c>
      <c r="N492" s="3">
        <v>294</v>
      </c>
      <c r="O492" s="3">
        <v>261</v>
      </c>
      <c r="P492" s="3">
        <v>43372</v>
      </c>
      <c r="Q492" s="3">
        <v>2037</v>
      </c>
      <c r="R492" s="4">
        <v>3.82</v>
      </c>
      <c r="S492" s="6">
        <f>GlowNestSocialTable3[[#This Row],[Link Clicks]]/GlowNestSocialTable3[[#This Row],[Reach]]</f>
        <v>4.8882812353679321E-3</v>
      </c>
    </row>
    <row r="493" spans="1:19">
      <c r="A493" t="s">
        <v>532</v>
      </c>
      <c r="B493" s="2">
        <v>45956</v>
      </c>
      <c r="C493" t="s">
        <v>19</v>
      </c>
      <c r="D493" t="s">
        <v>30</v>
      </c>
      <c r="E493" t="s">
        <v>27</v>
      </c>
      <c r="F493" t="s">
        <v>31</v>
      </c>
      <c r="G493" t="s">
        <v>23</v>
      </c>
      <c r="H493" s="3">
        <v>75002</v>
      </c>
      <c r="I493" s="3">
        <v>34010</v>
      </c>
      <c r="J493" s="3">
        <v>23963</v>
      </c>
      <c r="K493" s="3">
        <v>1096</v>
      </c>
      <c r="L493" s="3">
        <v>116</v>
      </c>
      <c r="M493" s="3">
        <v>162</v>
      </c>
      <c r="N493" s="3">
        <v>244</v>
      </c>
      <c r="O493" s="3">
        <v>326</v>
      </c>
      <c r="P493" s="3"/>
      <c r="Q493" s="3">
        <v>1618</v>
      </c>
      <c r="R493" s="4">
        <v>6.75</v>
      </c>
      <c r="S493" s="6">
        <f>GlowNestSocialTable3[[#This Row],[Link Clicks]]/GlowNestSocialTable3[[#This Row],[Reach]]</f>
        <v>1.3604306639402411E-2</v>
      </c>
    </row>
    <row r="494" spans="1:19">
      <c r="A494" t="s">
        <v>533</v>
      </c>
      <c r="B494" s="2">
        <v>45956</v>
      </c>
      <c r="C494" t="s">
        <v>33</v>
      </c>
      <c r="D494" t="s">
        <v>20</v>
      </c>
      <c r="E494" t="s">
        <v>25</v>
      </c>
      <c r="F494" t="s">
        <v>22</v>
      </c>
      <c r="G494" t="s">
        <v>38</v>
      </c>
      <c r="H494" s="3">
        <v>38247</v>
      </c>
      <c r="I494" s="3">
        <v>19129</v>
      </c>
      <c r="J494" s="3">
        <v>15584</v>
      </c>
      <c r="K494" s="3">
        <v>306</v>
      </c>
      <c r="L494" s="3">
        <v>40</v>
      </c>
      <c r="M494" s="3">
        <v>47</v>
      </c>
      <c r="N494" s="3">
        <v>43</v>
      </c>
      <c r="O494" s="3">
        <v>166</v>
      </c>
      <c r="P494" s="3">
        <v>8649</v>
      </c>
      <c r="Q494" s="3">
        <v>436</v>
      </c>
      <c r="R494" s="4">
        <v>2.8</v>
      </c>
      <c r="S494" s="6">
        <f>GlowNestSocialTable3[[#This Row],[Link Clicks]]/GlowNestSocialTable3[[#This Row],[Reach]]</f>
        <v>1.0651950718685832E-2</v>
      </c>
    </row>
    <row r="495" spans="1:19">
      <c r="A495" t="s">
        <v>534</v>
      </c>
      <c r="B495" s="2">
        <v>45957</v>
      </c>
      <c r="C495" t="s">
        <v>33</v>
      </c>
      <c r="D495" t="s">
        <v>37</v>
      </c>
      <c r="E495" t="s">
        <v>25</v>
      </c>
      <c r="F495" t="s">
        <v>31</v>
      </c>
      <c r="G495" t="s">
        <v>23</v>
      </c>
      <c r="H495" s="3">
        <v>35503</v>
      </c>
      <c r="I495" s="3">
        <v>12322</v>
      </c>
      <c r="J495" s="3">
        <v>10978</v>
      </c>
      <c r="K495" s="3">
        <v>221</v>
      </c>
      <c r="L495" s="3">
        <v>34</v>
      </c>
      <c r="M495" s="3">
        <v>23</v>
      </c>
      <c r="N495" s="3">
        <v>29</v>
      </c>
      <c r="O495" s="3">
        <v>95</v>
      </c>
      <c r="P495" s="3"/>
      <c r="Q495" s="3">
        <v>307</v>
      </c>
      <c r="R495" s="4">
        <v>2.8</v>
      </c>
      <c r="S495" s="6">
        <f>GlowNestSocialTable3[[#This Row],[Link Clicks]]/GlowNestSocialTable3[[#This Row],[Reach]]</f>
        <v>8.6536709783202777E-3</v>
      </c>
    </row>
    <row r="496" spans="1:19">
      <c r="A496" t="s">
        <v>535</v>
      </c>
      <c r="B496" s="2">
        <v>45958</v>
      </c>
      <c r="C496" t="s">
        <v>19</v>
      </c>
      <c r="D496" t="s">
        <v>20</v>
      </c>
      <c r="E496" t="s">
        <v>25</v>
      </c>
      <c r="F496" t="s">
        <v>28</v>
      </c>
      <c r="G496" t="s">
        <v>38</v>
      </c>
      <c r="H496" s="3">
        <v>75657</v>
      </c>
      <c r="I496" s="3">
        <v>64351</v>
      </c>
      <c r="J496" s="3">
        <v>57863</v>
      </c>
      <c r="K496" s="3">
        <v>1931</v>
      </c>
      <c r="L496" s="3">
        <v>221</v>
      </c>
      <c r="M496" s="3">
        <v>233</v>
      </c>
      <c r="N496" s="3">
        <v>423</v>
      </c>
      <c r="O496" s="3">
        <v>578</v>
      </c>
      <c r="P496" s="3">
        <v>39387</v>
      </c>
      <c r="Q496" s="3">
        <v>2808</v>
      </c>
      <c r="R496" s="4">
        <v>4.8499999999999996</v>
      </c>
      <c r="S496" s="6">
        <f>GlowNestSocialTable3[[#This Row],[Link Clicks]]/GlowNestSocialTable3[[#This Row],[Reach]]</f>
        <v>9.9891122133314893E-3</v>
      </c>
    </row>
    <row r="497" spans="1:19">
      <c r="A497" t="s">
        <v>536</v>
      </c>
      <c r="B497" s="2">
        <v>45958</v>
      </c>
      <c r="C497" t="s">
        <v>19</v>
      </c>
      <c r="D497" t="s">
        <v>20</v>
      </c>
      <c r="E497" t="s">
        <v>49</v>
      </c>
      <c r="F497" t="s">
        <v>28</v>
      </c>
      <c r="G497" t="s">
        <v>23</v>
      </c>
      <c r="H497" s="3">
        <v>76234</v>
      </c>
      <c r="I497" s="3">
        <v>60528</v>
      </c>
      <c r="J497" s="3">
        <v>39151</v>
      </c>
      <c r="K497" s="3">
        <v>1892</v>
      </c>
      <c r="L497" s="3">
        <v>210</v>
      </c>
      <c r="M497" s="3">
        <v>314</v>
      </c>
      <c r="N497" s="3">
        <v>388</v>
      </c>
      <c r="O497" s="3">
        <v>420</v>
      </c>
      <c r="P497" s="3">
        <v>29891</v>
      </c>
      <c r="Q497" s="3">
        <v>2804</v>
      </c>
      <c r="R497" s="4">
        <v>7.16</v>
      </c>
      <c r="S497" s="6">
        <f>GlowNestSocialTable3[[#This Row],[Link Clicks]]/GlowNestSocialTable3[[#This Row],[Reach]]</f>
        <v>1.072769533345253E-2</v>
      </c>
    </row>
    <row r="498" spans="1:19">
      <c r="A498" t="s">
        <v>537</v>
      </c>
      <c r="B498" s="2">
        <v>45959</v>
      </c>
      <c r="C498" t="s">
        <v>19</v>
      </c>
      <c r="D498" t="s">
        <v>20</v>
      </c>
      <c r="E498" t="s">
        <v>49</v>
      </c>
      <c r="F498" t="s">
        <v>22</v>
      </c>
      <c r="G498" t="s">
        <v>23</v>
      </c>
      <c r="H498" s="3">
        <v>74744</v>
      </c>
      <c r="I498" s="3">
        <v>55932</v>
      </c>
      <c r="J498" s="3">
        <v>38348</v>
      </c>
      <c r="K498" s="3">
        <v>1969</v>
      </c>
      <c r="L498" s="3">
        <v>322</v>
      </c>
      <c r="M498" s="3">
        <v>202</v>
      </c>
      <c r="N498" s="3">
        <v>132</v>
      </c>
      <c r="O498" s="3">
        <v>352</v>
      </c>
      <c r="P498" s="3">
        <v>27098</v>
      </c>
      <c r="Q498" s="3">
        <v>2625</v>
      </c>
      <c r="R498" s="4">
        <v>6.85</v>
      </c>
      <c r="S498" s="6">
        <f>GlowNestSocialTable3[[#This Row],[Link Clicks]]/GlowNestSocialTable3[[#This Row],[Reach]]</f>
        <v>9.1790966934390313E-3</v>
      </c>
    </row>
    <row r="499" spans="1:19">
      <c r="A499" t="s">
        <v>538</v>
      </c>
      <c r="B499" s="2">
        <v>45960</v>
      </c>
      <c r="C499" t="s">
        <v>33</v>
      </c>
      <c r="D499" t="s">
        <v>34</v>
      </c>
      <c r="E499" t="s">
        <v>21</v>
      </c>
      <c r="F499" t="s">
        <v>44</v>
      </c>
      <c r="G499" t="s">
        <v>23</v>
      </c>
      <c r="H499" s="3">
        <v>36245</v>
      </c>
      <c r="I499" s="3">
        <v>10481</v>
      </c>
      <c r="J499" s="3">
        <v>7185</v>
      </c>
      <c r="K499" s="3">
        <v>145</v>
      </c>
      <c r="L499" s="3">
        <v>23</v>
      </c>
      <c r="M499" s="3">
        <v>14</v>
      </c>
      <c r="N499" s="3">
        <v>34</v>
      </c>
      <c r="O499" s="3">
        <v>129</v>
      </c>
      <c r="P499" s="3"/>
      <c r="Q499" s="3">
        <v>216</v>
      </c>
      <c r="R499" s="4">
        <v>3.01</v>
      </c>
      <c r="S499" s="6">
        <f>GlowNestSocialTable3[[#This Row],[Link Clicks]]/GlowNestSocialTable3[[#This Row],[Reach]]</f>
        <v>1.7954070981210855E-2</v>
      </c>
    </row>
    <row r="500" spans="1:19">
      <c r="A500" t="s">
        <v>539</v>
      </c>
      <c r="B500" s="2">
        <v>45960</v>
      </c>
      <c r="C500" t="s">
        <v>19</v>
      </c>
      <c r="D500" t="s">
        <v>20</v>
      </c>
      <c r="E500" t="s">
        <v>27</v>
      </c>
      <c r="F500" t="s">
        <v>31</v>
      </c>
      <c r="G500" t="s">
        <v>23</v>
      </c>
      <c r="H500" s="3">
        <v>74237</v>
      </c>
      <c r="I500" s="3">
        <v>46181</v>
      </c>
      <c r="J500" s="3">
        <v>33849</v>
      </c>
      <c r="K500" s="3">
        <v>2538</v>
      </c>
      <c r="L500" s="3">
        <v>294</v>
      </c>
      <c r="M500" s="3">
        <v>373</v>
      </c>
      <c r="N500" s="3">
        <v>368</v>
      </c>
      <c r="O500" s="3">
        <v>465</v>
      </c>
      <c r="P500" s="3">
        <v>27903</v>
      </c>
      <c r="Q500" s="3">
        <v>3573</v>
      </c>
      <c r="R500" s="4">
        <v>10.56</v>
      </c>
      <c r="S500" s="6">
        <f>GlowNestSocialTable3[[#This Row],[Link Clicks]]/GlowNestSocialTable3[[#This Row],[Reach]]</f>
        <v>1.3737481166356466E-2</v>
      </c>
    </row>
    <row r="501" spans="1:19">
      <c r="A501" t="s">
        <v>540</v>
      </c>
      <c r="B501" s="2">
        <v>45961</v>
      </c>
      <c r="C501" t="s">
        <v>36</v>
      </c>
      <c r="D501" t="s">
        <v>30</v>
      </c>
      <c r="E501" t="s">
        <v>49</v>
      </c>
      <c r="F501" t="s">
        <v>42</v>
      </c>
      <c r="G501" t="s">
        <v>23</v>
      </c>
      <c r="H501" s="3">
        <v>92025</v>
      </c>
      <c r="I501" s="3">
        <v>45399</v>
      </c>
      <c r="J501" s="3">
        <v>29590</v>
      </c>
      <c r="K501" s="3">
        <v>349</v>
      </c>
      <c r="L501" s="3">
        <v>43</v>
      </c>
      <c r="M501" s="3">
        <v>38</v>
      </c>
      <c r="N501" s="3">
        <v>32</v>
      </c>
      <c r="O501" s="3">
        <v>88</v>
      </c>
      <c r="P501" s="3"/>
      <c r="Q501" s="3">
        <v>462</v>
      </c>
      <c r="R501" s="4">
        <v>1.56</v>
      </c>
      <c r="S501" s="6">
        <f>GlowNestSocialTable3[[#This Row],[Link Clicks]]/GlowNestSocialTable3[[#This Row],[Reach]]</f>
        <v>2.9739776951672862E-3</v>
      </c>
    </row>
    <row r="502" spans="1:19">
      <c r="A502" t="s">
        <v>541</v>
      </c>
      <c r="B502" s="2">
        <v>45961</v>
      </c>
      <c r="C502" t="s">
        <v>19</v>
      </c>
      <c r="D502" t="s">
        <v>20</v>
      </c>
      <c r="E502" t="s">
        <v>27</v>
      </c>
      <c r="F502" t="s">
        <v>42</v>
      </c>
      <c r="G502" t="s">
        <v>23</v>
      </c>
      <c r="H502" s="3">
        <v>73627</v>
      </c>
      <c r="I502" s="3">
        <v>47651</v>
      </c>
      <c r="J502" s="3">
        <v>37841</v>
      </c>
      <c r="K502" s="3">
        <v>1890</v>
      </c>
      <c r="L502" s="3">
        <v>347</v>
      </c>
      <c r="M502" s="3">
        <v>199</v>
      </c>
      <c r="N502" s="3">
        <v>491</v>
      </c>
      <c r="O502" s="3">
        <v>617</v>
      </c>
      <c r="P502" s="3">
        <v>30425</v>
      </c>
      <c r="Q502" s="3">
        <v>2927</v>
      </c>
      <c r="R502" s="4">
        <v>7.73</v>
      </c>
      <c r="S502" s="6">
        <f>GlowNestSocialTable3[[#This Row],[Link Clicks]]/GlowNestSocialTable3[[#This Row],[Reach]]</f>
        <v>1.6305065933775533E-2</v>
      </c>
    </row>
    <row r="503" spans="1:19">
      <c r="A503" t="s">
        <v>542</v>
      </c>
      <c r="B503" s="2">
        <v>45962</v>
      </c>
      <c r="C503" t="s">
        <v>36</v>
      </c>
      <c r="D503" t="s">
        <v>37</v>
      </c>
      <c r="E503" t="s">
        <v>49</v>
      </c>
      <c r="F503" t="s">
        <v>31</v>
      </c>
      <c r="G503" t="s">
        <v>23</v>
      </c>
      <c r="H503" s="3">
        <v>90365</v>
      </c>
      <c r="I503" s="3">
        <v>57338</v>
      </c>
      <c r="J503" s="3">
        <v>46855</v>
      </c>
      <c r="K503" s="3">
        <v>817</v>
      </c>
      <c r="L503" s="3">
        <v>141</v>
      </c>
      <c r="M503" s="3">
        <v>109</v>
      </c>
      <c r="N503" s="3">
        <v>206</v>
      </c>
      <c r="O503" s="3">
        <v>174</v>
      </c>
      <c r="P503" s="3"/>
      <c r="Q503" s="3">
        <v>1273</v>
      </c>
      <c r="R503" s="4">
        <v>2.72</v>
      </c>
      <c r="S503" s="6">
        <f>GlowNestSocialTable3[[#This Row],[Link Clicks]]/GlowNestSocialTable3[[#This Row],[Reach]]</f>
        <v>3.7135844627040871E-3</v>
      </c>
    </row>
    <row r="504" spans="1:19">
      <c r="A504" t="s">
        <v>543</v>
      </c>
      <c r="B504" s="2">
        <v>45963</v>
      </c>
      <c r="C504" t="s">
        <v>33</v>
      </c>
      <c r="D504" t="s">
        <v>34</v>
      </c>
      <c r="E504" t="s">
        <v>46</v>
      </c>
      <c r="F504" t="s">
        <v>31</v>
      </c>
      <c r="G504" t="s">
        <v>23</v>
      </c>
      <c r="H504" s="3">
        <v>35696</v>
      </c>
      <c r="I504" s="3">
        <v>10186</v>
      </c>
      <c r="J504" s="3">
        <v>7250</v>
      </c>
      <c r="K504" s="3">
        <v>157</v>
      </c>
      <c r="L504" s="3">
        <v>26</v>
      </c>
      <c r="M504" s="3">
        <v>14</v>
      </c>
      <c r="N504" s="3">
        <v>12</v>
      </c>
      <c r="O504" s="3">
        <v>143</v>
      </c>
      <c r="P504" s="3"/>
      <c r="Q504" s="3">
        <v>209</v>
      </c>
      <c r="R504" s="4">
        <v>2.88</v>
      </c>
      <c r="S504" s="6">
        <f>GlowNestSocialTable3[[#This Row],[Link Clicks]]/GlowNestSocialTable3[[#This Row],[Reach]]</f>
        <v>1.9724137931034481E-2</v>
      </c>
    </row>
    <row r="505" spans="1:19">
      <c r="A505" t="s">
        <v>544</v>
      </c>
      <c r="B505" s="2">
        <v>45963</v>
      </c>
      <c r="C505" t="s">
        <v>33</v>
      </c>
      <c r="D505" t="s">
        <v>34</v>
      </c>
      <c r="E505" t="s">
        <v>49</v>
      </c>
      <c r="F505" t="s">
        <v>22</v>
      </c>
      <c r="G505" t="s">
        <v>23</v>
      </c>
      <c r="H505" s="3">
        <v>34598</v>
      </c>
      <c r="I505" s="3">
        <v>9802</v>
      </c>
      <c r="J505" s="3">
        <v>6692</v>
      </c>
      <c r="K505" s="3">
        <v>127</v>
      </c>
      <c r="L505" s="3">
        <v>19</v>
      </c>
      <c r="M505" s="3">
        <v>12</v>
      </c>
      <c r="N505" s="3">
        <v>21</v>
      </c>
      <c r="O505" s="3">
        <v>83</v>
      </c>
      <c r="P505" s="3"/>
      <c r="Q505" s="3">
        <v>179</v>
      </c>
      <c r="R505" s="4">
        <v>2.67</v>
      </c>
      <c r="S505" s="6">
        <f>GlowNestSocialTable3[[#This Row],[Link Clicks]]/GlowNestSocialTable3[[#This Row],[Reach]]</f>
        <v>1.2402869097429766E-2</v>
      </c>
    </row>
    <row r="506" spans="1:19">
      <c r="A506" t="s">
        <v>545</v>
      </c>
      <c r="B506" s="2">
        <v>45964</v>
      </c>
      <c r="C506" t="s">
        <v>33</v>
      </c>
      <c r="D506" t="s">
        <v>34</v>
      </c>
      <c r="E506" t="s">
        <v>49</v>
      </c>
      <c r="F506" t="s">
        <v>44</v>
      </c>
      <c r="G506" t="s">
        <v>23</v>
      </c>
      <c r="H506" s="3">
        <v>34702</v>
      </c>
      <c r="I506" s="3">
        <v>10338</v>
      </c>
      <c r="J506" s="3">
        <v>7808</v>
      </c>
      <c r="K506" s="3">
        <v>142</v>
      </c>
      <c r="L506" s="3">
        <v>24</v>
      </c>
      <c r="M506" s="3">
        <v>18</v>
      </c>
      <c r="N506" s="3">
        <v>14</v>
      </c>
      <c r="O506" s="3">
        <v>83</v>
      </c>
      <c r="P506" s="3"/>
      <c r="Q506" s="3">
        <v>198</v>
      </c>
      <c r="R506" s="4">
        <v>2.54</v>
      </c>
      <c r="S506" s="6">
        <f>GlowNestSocialTable3[[#This Row],[Link Clicks]]/GlowNestSocialTable3[[#This Row],[Reach]]</f>
        <v>1.0630122950819672E-2</v>
      </c>
    </row>
    <row r="507" spans="1:19">
      <c r="A507" t="s">
        <v>546</v>
      </c>
      <c r="B507" s="2">
        <v>45964</v>
      </c>
      <c r="C507" t="s">
        <v>36</v>
      </c>
      <c r="D507" t="s">
        <v>37</v>
      </c>
      <c r="E507" t="s">
        <v>25</v>
      </c>
      <c r="F507" t="s">
        <v>42</v>
      </c>
      <c r="G507" t="s">
        <v>38</v>
      </c>
      <c r="H507" s="3">
        <v>91059</v>
      </c>
      <c r="I507" s="3">
        <v>89987</v>
      </c>
      <c r="J507" s="3">
        <v>70641</v>
      </c>
      <c r="K507" s="3">
        <v>812</v>
      </c>
      <c r="L507" s="3">
        <v>144</v>
      </c>
      <c r="M507" s="3">
        <v>146</v>
      </c>
      <c r="N507" s="3">
        <v>100</v>
      </c>
      <c r="O507" s="3">
        <v>246</v>
      </c>
      <c r="P507" s="3"/>
      <c r="Q507" s="3">
        <v>1202</v>
      </c>
      <c r="R507" s="4">
        <v>1.7</v>
      </c>
      <c r="S507" s="6">
        <f>GlowNestSocialTable3[[#This Row],[Link Clicks]]/GlowNestSocialTable3[[#This Row],[Reach]]</f>
        <v>3.4823969083110375E-3</v>
      </c>
    </row>
    <row r="508" spans="1:19">
      <c r="A508" t="s">
        <v>547</v>
      </c>
      <c r="B508" s="2">
        <v>45965</v>
      </c>
      <c r="C508" t="s">
        <v>36</v>
      </c>
      <c r="D508" t="s">
        <v>30</v>
      </c>
      <c r="E508" t="s">
        <v>25</v>
      </c>
      <c r="F508" t="s">
        <v>42</v>
      </c>
      <c r="G508" t="s">
        <v>23</v>
      </c>
      <c r="H508" s="3">
        <v>92987</v>
      </c>
      <c r="I508" s="3">
        <v>48436</v>
      </c>
      <c r="J508" s="3">
        <v>44758</v>
      </c>
      <c r="K508" s="3">
        <v>404</v>
      </c>
      <c r="L508" s="3">
        <v>63</v>
      </c>
      <c r="M508" s="3">
        <v>54</v>
      </c>
      <c r="N508" s="3">
        <v>64</v>
      </c>
      <c r="O508" s="3">
        <v>129</v>
      </c>
      <c r="P508" s="3"/>
      <c r="Q508" s="3">
        <v>585</v>
      </c>
      <c r="R508" s="4">
        <v>1.31</v>
      </c>
      <c r="S508" s="6">
        <f>GlowNestSocialTable3[[#This Row],[Link Clicks]]/GlowNestSocialTable3[[#This Row],[Reach]]</f>
        <v>2.8821663166361321E-3</v>
      </c>
    </row>
    <row r="509" spans="1:19">
      <c r="A509" t="s">
        <v>548</v>
      </c>
      <c r="B509" s="2">
        <v>45966</v>
      </c>
      <c r="C509" t="s">
        <v>19</v>
      </c>
      <c r="D509" t="s">
        <v>37</v>
      </c>
      <c r="E509" t="s">
        <v>27</v>
      </c>
      <c r="F509" t="s">
        <v>44</v>
      </c>
      <c r="G509" t="s">
        <v>23</v>
      </c>
      <c r="H509" s="3">
        <v>72978</v>
      </c>
      <c r="I509" s="3">
        <v>32835</v>
      </c>
      <c r="J509" s="3">
        <v>22843</v>
      </c>
      <c r="K509" s="3">
        <v>949</v>
      </c>
      <c r="L509" s="3">
        <v>148</v>
      </c>
      <c r="M509" s="3">
        <v>106</v>
      </c>
      <c r="N509" s="3">
        <v>166</v>
      </c>
      <c r="O509" s="3">
        <v>385</v>
      </c>
      <c r="P509" s="3"/>
      <c r="Q509" s="3">
        <v>1369</v>
      </c>
      <c r="R509" s="4">
        <v>5.99</v>
      </c>
      <c r="S509" s="6">
        <f>GlowNestSocialTable3[[#This Row],[Link Clicks]]/GlowNestSocialTable3[[#This Row],[Reach]]</f>
        <v>1.6854178522961082E-2</v>
      </c>
    </row>
    <row r="510" spans="1:19">
      <c r="A510" t="s">
        <v>549</v>
      </c>
      <c r="B510" s="2">
        <v>45966</v>
      </c>
      <c r="C510" t="s">
        <v>19</v>
      </c>
      <c r="D510" t="s">
        <v>30</v>
      </c>
      <c r="E510" t="s">
        <v>27</v>
      </c>
      <c r="F510" t="s">
        <v>28</v>
      </c>
      <c r="G510" t="s">
        <v>23</v>
      </c>
      <c r="H510" s="3">
        <v>73134</v>
      </c>
      <c r="I510" s="3">
        <v>31273</v>
      </c>
      <c r="J510" s="3">
        <v>27989</v>
      </c>
      <c r="K510" s="3">
        <v>1094</v>
      </c>
      <c r="L510" s="3">
        <v>156</v>
      </c>
      <c r="M510" s="3">
        <v>156</v>
      </c>
      <c r="N510" s="3">
        <v>201</v>
      </c>
      <c r="O510" s="3">
        <v>272</v>
      </c>
      <c r="P510" s="3"/>
      <c r="Q510" s="3">
        <v>1607</v>
      </c>
      <c r="R510" s="4">
        <v>5.74</v>
      </c>
      <c r="S510" s="6">
        <f>GlowNestSocialTable3[[#This Row],[Link Clicks]]/GlowNestSocialTable3[[#This Row],[Reach]]</f>
        <v>9.7181035406766949E-3</v>
      </c>
    </row>
    <row r="511" spans="1:19">
      <c r="A511" t="s">
        <v>550</v>
      </c>
      <c r="B511" s="2">
        <v>45967</v>
      </c>
      <c r="C511" t="s">
        <v>36</v>
      </c>
      <c r="D511" t="s">
        <v>30</v>
      </c>
      <c r="E511" t="s">
        <v>25</v>
      </c>
      <c r="F511" t="s">
        <v>22</v>
      </c>
      <c r="G511" t="s">
        <v>23</v>
      </c>
      <c r="H511" s="3">
        <v>89363</v>
      </c>
      <c r="I511" s="3">
        <v>46405</v>
      </c>
      <c r="J511" s="3">
        <v>35968</v>
      </c>
      <c r="K511" s="3">
        <v>332</v>
      </c>
      <c r="L511" s="3">
        <v>46</v>
      </c>
      <c r="M511" s="3">
        <v>48</v>
      </c>
      <c r="N511" s="3">
        <v>14</v>
      </c>
      <c r="O511" s="3">
        <v>109</v>
      </c>
      <c r="P511" s="3"/>
      <c r="Q511" s="3">
        <v>440</v>
      </c>
      <c r="R511" s="4">
        <v>1.22</v>
      </c>
      <c r="S511" s="6">
        <f>GlowNestSocialTable3[[#This Row],[Link Clicks]]/GlowNestSocialTable3[[#This Row],[Reach]]</f>
        <v>3.0304715302491101E-3</v>
      </c>
    </row>
    <row r="512" spans="1:19">
      <c r="A512" t="s">
        <v>551</v>
      </c>
      <c r="B512" s="2">
        <v>45967</v>
      </c>
      <c r="C512" t="s">
        <v>19</v>
      </c>
      <c r="D512" t="s">
        <v>20</v>
      </c>
      <c r="E512" t="s">
        <v>27</v>
      </c>
      <c r="F512" t="s">
        <v>44</v>
      </c>
      <c r="G512" t="s">
        <v>23</v>
      </c>
      <c r="H512" s="3">
        <v>76741</v>
      </c>
      <c r="I512" s="3">
        <v>49929</v>
      </c>
      <c r="J512" s="3">
        <v>34730</v>
      </c>
      <c r="K512" s="3">
        <v>1667</v>
      </c>
      <c r="L512" s="3">
        <v>286</v>
      </c>
      <c r="M512" s="3">
        <v>237</v>
      </c>
      <c r="N512" s="3">
        <v>816</v>
      </c>
      <c r="O512" s="3">
        <v>410</v>
      </c>
      <c r="P512" s="3">
        <v>20618</v>
      </c>
      <c r="Q512" s="3">
        <v>3006</v>
      </c>
      <c r="R512" s="4">
        <v>8.66</v>
      </c>
      <c r="S512" s="6">
        <f>GlowNestSocialTable3[[#This Row],[Link Clicks]]/GlowNestSocialTable3[[#This Row],[Reach]]</f>
        <v>1.1805355600345523E-2</v>
      </c>
    </row>
    <row r="513" spans="1:19">
      <c r="A513" t="s">
        <v>552</v>
      </c>
      <c r="B513" s="2">
        <v>45968</v>
      </c>
      <c r="C513" t="s">
        <v>36</v>
      </c>
      <c r="D513" t="s">
        <v>20</v>
      </c>
      <c r="E513" t="s">
        <v>27</v>
      </c>
      <c r="F513" t="s">
        <v>22</v>
      </c>
      <c r="G513" t="s">
        <v>23</v>
      </c>
      <c r="H513" s="3">
        <v>91018</v>
      </c>
      <c r="I513" s="3">
        <v>62931</v>
      </c>
      <c r="J513" s="3">
        <v>50729</v>
      </c>
      <c r="K513" s="3">
        <v>1175</v>
      </c>
      <c r="L513" s="3">
        <v>119</v>
      </c>
      <c r="M513" s="3">
        <v>98</v>
      </c>
      <c r="N513" s="3">
        <v>430</v>
      </c>
      <c r="O513" s="3">
        <v>345</v>
      </c>
      <c r="P513" s="3">
        <v>30930</v>
      </c>
      <c r="Q513" s="3">
        <v>1822</v>
      </c>
      <c r="R513" s="4">
        <v>3.59</v>
      </c>
      <c r="S513" s="6">
        <f>GlowNestSocialTable3[[#This Row],[Link Clicks]]/GlowNestSocialTable3[[#This Row],[Reach]]</f>
        <v>6.8008436988704684E-3</v>
      </c>
    </row>
    <row r="514" spans="1:19">
      <c r="A514" t="s">
        <v>553</v>
      </c>
      <c r="B514" s="2">
        <v>45969</v>
      </c>
      <c r="C514" t="s">
        <v>33</v>
      </c>
      <c r="D514" t="s">
        <v>34</v>
      </c>
      <c r="E514" t="s">
        <v>27</v>
      </c>
      <c r="F514" t="s">
        <v>22</v>
      </c>
      <c r="G514" t="s">
        <v>23</v>
      </c>
      <c r="H514" s="3">
        <v>33576</v>
      </c>
      <c r="I514" s="3">
        <v>8841</v>
      </c>
      <c r="J514" s="3">
        <v>7707</v>
      </c>
      <c r="K514" s="3">
        <v>221</v>
      </c>
      <c r="L514" s="3">
        <v>30</v>
      </c>
      <c r="M514" s="3">
        <v>31</v>
      </c>
      <c r="N514" s="3">
        <v>34</v>
      </c>
      <c r="O514" s="3">
        <v>143</v>
      </c>
      <c r="P514" s="3"/>
      <c r="Q514" s="3">
        <v>316</v>
      </c>
      <c r="R514" s="4">
        <v>4.0999999999999996</v>
      </c>
      <c r="S514" s="6">
        <f>GlowNestSocialTable3[[#This Row],[Link Clicks]]/GlowNestSocialTable3[[#This Row],[Reach]]</f>
        <v>1.8554560788893212E-2</v>
      </c>
    </row>
    <row r="515" spans="1:19">
      <c r="A515" t="s">
        <v>554</v>
      </c>
      <c r="B515" s="2">
        <v>45969</v>
      </c>
      <c r="C515" t="s">
        <v>36</v>
      </c>
      <c r="D515" t="s">
        <v>30</v>
      </c>
      <c r="E515" t="s">
        <v>25</v>
      </c>
      <c r="F515" t="s">
        <v>22</v>
      </c>
      <c r="G515" t="s">
        <v>23</v>
      </c>
      <c r="H515" s="3">
        <v>92565</v>
      </c>
      <c r="I515" s="3">
        <v>64104</v>
      </c>
      <c r="J515" s="3">
        <v>45009</v>
      </c>
      <c r="K515" s="3">
        <v>332</v>
      </c>
      <c r="L515" s="3">
        <v>41</v>
      </c>
      <c r="M515" s="3">
        <v>51</v>
      </c>
      <c r="N515" s="3">
        <v>37</v>
      </c>
      <c r="O515" s="3">
        <v>151</v>
      </c>
      <c r="P515" s="3"/>
      <c r="Q515" s="3">
        <v>461</v>
      </c>
      <c r="R515" s="4">
        <v>1.02</v>
      </c>
      <c r="S515" s="6">
        <f>GlowNestSocialTable3[[#This Row],[Link Clicks]]/GlowNestSocialTable3[[#This Row],[Reach]]</f>
        <v>3.3548845786398277E-3</v>
      </c>
    </row>
    <row r="516" spans="1:19">
      <c r="A516" t="s">
        <v>555</v>
      </c>
      <c r="B516" s="2">
        <v>45970</v>
      </c>
      <c r="C516" t="s">
        <v>33</v>
      </c>
      <c r="D516" t="s">
        <v>30</v>
      </c>
      <c r="E516" t="s">
        <v>49</v>
      </c>
      <c r="F516" t="s">
        <v>44</v>
      </c>
      <c r="G516" t="s">
        <v>23</v>
      </c>
      <c r="H516" s="3">
        <v>34475</v>
      </c>
      <c r="I516" s="3">
        <v>12634</v>
      </c>
      <c r="J516" s="3">
        <v>9511</v>
      </c>
      <c r="K516" s="3">
        <v>231</v>
      </c>
      <c r="L516" s="3">
        <v>28</v>
      </c>
      <c r="M516" s="3">
        <v>25</v>
      </c>
      <c r="N516" s="3">
        <v>30</v>
      </c>
      <c r="O516" s="3">
        <v>109</v>
      </c>
      <c r="P516" s="3"/>
      <c r="Q516" s="3">
        <v>314</v>
      </c>
      <c r="R516" s="4">
        <v>3.3</v>
      </c>
      <c r="S516" s="6">
        <f>GlowNestSocialTable3[[#This Row],[Link Clicks]]/GlowNestSocialTable3[[#This Row],[Reach]]</f>
        <v>1.1460414257175901E-2</v>
      </c>
    </row>
    <row r="517" spans="1:19">
      <c r="A517" t="s">
        <v>556</v>
      </c>
      <c r="B517" s="2">
        <v>45970</v>
      </c>
      <c r="C517" t="s">
        <v>36</v>
      </c>
      <c r="D517" t="s">
        <v>30</v>
      </c>
      <c r="E517" t="s">
        <v>49</v>
      </c>
      <c r="F517" t="s">
        <v>44</v>
      </c>
      <c r="G517" t="s">
        <v>38</v>
      </c>
      <c r="H517" s="3">
        <v>89027</v>
      </c>
      <c r="I517" s="3">
        <v>73866</v>
      </c>
      <c r="J517" s="3">
        <v>52699</v>
      </c>
      <c r="K517" s="3">
        <v>647</v>
      </c>
      <c r="L517" s="3">
        <v>109</v>
      </c>
      <c r="M517" s="3">
        <v>64</v>
      </c>
      <c r="N517" s="3">
        <v>125</v>
      </c>
      <c r="O517" s="3">
        <v>212</v>
      </c>
      <c r="P517" s="3"/>
      <c r="Q517" s="3">
        <v>945</v>
      </c>
      <c r="R517" s="4">
        <v>1.79</v>
      </c>
      <c r="S517" s="6">
        <f>GlowNestSocialTable3[[#This Row],[Link Clicks]]/GlowNestSocialTable3[[#This Row],[Reach]]</f>
        <v>4.022846733334598E-3</v>
      </c>
    </row>
    <row r="518" spans="1:19">
      <c r="A518" t="s">
        <v>557</v>
      </c>
      <c r="B518" s="2">
        <v>45971</v>
      </c>
      <c r="C518" t="s">
        <v>36</v>
      </c>
      <c r="D518" t="s">
        <v>30</v>
      </c>
      <c r="E518" t="s">
        <v>27</v>
      </c>
      <c r="F518" t="s">
        <v>28</v>
      </c>
      <c r="G518" t="s">
        <v>23</v>
      </c>
      <c r="H518" s="3">
        <v>89939</v>
      </c>
      <c r="I518" s="3">
        <v>55216</v>
      </c>
      <c r="J518" s="3">
        <v>45265</v>
      </c>
      <c r="K518" s="3">
        <v>713</v>
      </c>
      <c r="L518" s="3">
        <v>120</v>
      </c>
      <c r="M518" s="3">
        <v>80</v>
      </c>
      <c r="N518" s="3">
        <v>106</v>
      </c>
      <c r="O518" s="3">
        <v>186</v>
      </c>
      <c r="P518" s="3"/>
      <c r="Q518" s="3">
        <v>1019</v>
      </c>
      <c r="R518" s="4">
        <v>2.25</v>
      </c>
      <c r="S518" s="6">
        <f>GlowNestSocialTable3[[#This Row],[Link Clicks]]/GlowNestSocialTable3[[#This Row],[Reach]]</f>
        <v>4.1091350933392242E-3</v>
      </c>
    </row>
    <row r="519" spans="1:19">
      <c r="A519" t="s">
        <v>558</v>
      </c>
      <c r="B519" s="2">
        <v>45972</v>
      </c>
      <c r="C519" t="s">
        <v>19</v>
      </c>
      <c r="D519" t="s">
        <v>30</v>
      </c>
      <c r="E519" t="s">
        <v>49</v>
      </c>
      <c r="F519" t="s">
        <v>42</v>
      </c>
      <c r="G519" t="s">
        <v>23</v>
      </c>
      <c r="H519" s="3">
        <v>74180</v>
      </c>
      <c r="I519" s="3">
        <v>34893</v>
      </c>
      <c r="J519" s="3">
        <v>24636</v>
      </c>
      <c r="K519" s="3">
        <v>939</v>
      </c>
      <c r="L519" s="3">
        <v>145</v>
      </c>
      <c r="M519" s="3">
        <v>91</v>
      </c>
      <c r="N519" s="3">
        <v>201</v>
      </c>
      <c r="O519" s="3">
        <v>143</v>
      </c>
      <c r="P519" s="3"/>
      <c r="Q519" s="3">
        <v>1376</v>
      </c>
      <c r="R519" s="4">
        <v>5.59</v>
      </c>
      <c r="S519" s="6">
        <f>GlowNestSocialTable3[[#This Row],[Link Clicks]]/GlowNestSocialTable3[[#This Row],[Reach]]</f>
        <v>5.8045137197597014E-3</v>
      </c>
    </row>
    <row r="520" spans="1:19">
      <c r="A520" t="s">
        <v>559</v>
      </c>
      <c r="B520" s="2">
        <v>45972</v>
      </c>
      <c r="C520" t="s">
        <v>33</v>
      </c>
      <c r="D520" t="s">
        <v>37</v>
      </c>
      <c r="E520" t="s">
        <v>25</v>
      </c>
      <c r="F520" t="s">
        <v>44</v>
      </c>
      <c r="G520" t="s">
        <v>23</v>
      </c>
      <c r="H520" s="3">
        <v>36278</v>
      </c>
      <c r="I520" s="3">
        <v>12849</v>
      </c>
      <c r="J520" s="3">
        <v>9638</v>
      </c>
      <c r="K520" s="3">
        <v>244</v>
      </c>
      <c r="L520" s="3">
        <v>29</v>
      </c>
      <c r="M520" s="3">
        <v>31</v>
      </c>
      <c r="N520" s="3">
        <v>27</v>
      </c>
      <c r="O520" s="3">
        <v>103</v>
      </c>
      <c r="P520" s="3"/>
      <c r="Q520" s="3">
        <v>331</v>
      </c>
      <c r="R520" s="4">
        <v>3.43</v>
      </c>
      <c r="S520" s="6">
        <f>GlowNestSocialTable3[[#This Row],[Link Clicks]]/GlowNestSocialTable3[[#This Row],[Reach]]</f>
        <v>1.0686864494708445E-2</v>
      </c>
    </row>
    <row r="521" spans="1:19">
      <c r="A521" t="s">
        <v>560</v>
      </c>
      <c r="B521" s="2">
        <v>45973</v>
      </c>
      <c r="C521" t="s">
        <v>36</v>
      </c>
      <c r="D521" t="s">
        <v>20</v>
      </c>
      <c r="E521" t="s">
        <v>46</v>
      </c>
      <c r="F521" t="s">
        <v>22</v>
      </c>
      <c r="G521" t="s">
        <v>23</v>
      </c>
      <c r="H521" s="3">
        <v>92494</v>
      </c>
      <c r="I521" s="3">
        <v>71064</v>
      </c>
      <c r="J521" s="3">
        <v>49017</v>
      </c>
      <c r="K521" s="3">
        <v>773</v>
      </c>
      <c r="L521" s="3">
        <v>125</v>
      </c>
      <c r="M521" s="3">
        <v>94</v>
      </c>
      <c r="N521" s="3">
        <v>289</v>
      </c>
      <c r="O521" s="3">
        <v>214</v>
      </c>
      <c r="P521" s="3">
        <v>33016</v>
      </c>
      <c r="Q521" s="3">
        <v>1281</v>
      </c>
      <c r="R521" s="4">
        <v>2.61</v>
      </c>
      <c r="S521" s="6">
        <f>GlowNestSocialTable3[[#This Row],[Link Clicks]]/GlowNestSocialTable3[[#This Row],[Reach]]</f>
        <v>4.3658322622763535E-3</v>
      </c>
    </row>
    <row r="522" spans="1:19">
      <c r="A522" t="s">
        <v>561</v>
      </c>
      <c r="B522" s="2">
        <v>45973</v>
      </c>
      <c r="C522" t="s">
        <v>36</v>
      </c>
      <c r="D522" t="s">
        <v>37</v>
      </c>
      <c r="E522" t="s">
        <v>25</v>
      </c>
      <c r="F522" t="s">
        <v>31</v>
      </c>
      <c r="G522" t="s">
        <v>23</v>
      </c>
      <c r="H522" s="3">
        <v>91492</v>
      </c>
      <c r="I522" s="3">
        <v>63399</v>
      </c>
      <c r="J522" s="3">
        <v>53711</v>
      </c>
      <c r="K522" s="3">
        <v>759</v>
      </c>
      <c r="L522" s="3">
        <v>105</v>
      </c>
      <c r="M522" s="3">
        <v>118</v>
      </c>
      <c r="N522" s="3">
        <v>57</v>
      </c>
      <c r="O522" s="3">
        <v>224</v>
      </c>
      <c r="P522" s="3"/>
      <c r="Q522" s="3">
        <v>1039</v>
      </c>
      <c r="R522" s="4">
        <v>1.93</v>
      </c>
      <c r="S522" s="6">
        <f>GlowNestSocialTable3[[#This Row],[Link Clicks]]/GlowNestSocialTable3[[#This Row],[Reach]]</f>
        <v>4.1704678743646551E-3</v>
      </c>
    </row>
    <row r="523" spans="1:19">
      <c r="A523" t="s">
        <v>562</v>
      </c>
      <c r="B523" s="2">
        <v>45974</v>
      </c>
      <c r="C523" t="s">
        <v>19</v>
      </c>
      <c r="D523" t="s">
        <v>34</v>
      </c>
      <c r="E523" t="s">
        <v>27</v>
      </c>
      <c r="F523" t="s">
        <v>42</v>
      </c>
      <c r="G523" t="s">
        <v>38</v>
      </c>
      <c r="H523" s="3">
        <v>77447</v>
      </c>
      <c r="I523" s="3">
        <v>54009</v>
      </c>
      <c r="J523" s="3">
        <v>40143</v>
      </c>
      <c r="K523" s="3">
        <v>1323</v>
      </c>
      <c r="L523" s="3">
        <v>173</v>
      </c>
      <c r="M523" s="3">
        <v>117</v>
      </c>
      <c r="N523" s="3">
        <v>168</v>
      </c>
      <c r="O523" s="3">
        <v>716</v>
      </c>
      <c r="P523" s="3"/>
      <c r="Q523" s="3">
        <v>1781</v>
      </c>
      <c r="R523" s="4">
        <v>4.4400000000000004</v>
      </c>
      <c r="S523" s="6">
        <f>GlowNestSocialTable3[[#This Row],[Link Clicks]]/GlowNestSocialTable3[[#This Row],[Reach]]</f>
        <v>1.7836235458236805E-2</v>
      </c>
    </row>
    <row r="524" spans="1:19">
      <c r="A524" t="s">
        <v>563</v>
      </c>
      <c r="B524" s="2">
        <v>45975</v>
      </c>
      <c r="C524" t="s">
        <v>19</v>
      </c>
      <c r="D524" t="s">
        <v>30</v>
      </c>
      <c r="E524" t="s">
        <v>25</v>
      </c>
      <c r="F524" t="s">
        <v>28</v>
      </c>
      <c r="G524" t="s">
        <v>23</v>
      </c>
      <c r="H524" s="3">
        <v>75930</v>
      </c>
      <c r="I524" s="3">
        <v>25559</v>
      </c>
      <c r="J524" s="3">
        <v>22631</v>
      </c>
      <c r="K524" s="3">
        <v>584</v>
      </c>
      <c r="L524" s="3">
        <v>94</v>
      </c>
      <c r="M524" s="3">
        <v>80</v>
      </c>
      <c r="N524" s="3">
        <v>6</v>
      </c>
      <c r="O524" s="3">
        <v>182</v>
      </c>
      <c r="P524" s="3"/>
      <c r="Q524" s="3">
        <v>764</v>
      </c>
      <c r="R524" s="4">
        <v>3.38</v>
      </c>
      <c r="S524" s="6">
        <f>GlowNestSocialTable3[[#This Row],[Link Clicks]]/GlowNestSocialTable3[[#This Row],[Reach]]</f>
        <v>8.0420661923909682E-3</v>
      </c>
    </row>
    <row r="525" spans="1:19">
      <c r="A525" t="s">
        <v>564</v>
      </c>
      <c r="B525" s="2">
        <v>45975</v>
      </c>
      <c r="C525" t="s">
        <v>19</v>
      </c>
      <c r="D525" t="s">
        <v>20</v>
      </c>
      <c r="E525" t="s">
        <v>27</v>
      </c>
      <c r="F525" t="s">
        <v>42</v>
      </c>
      <c r="G525" t="s">
        <v>23</v>
      </c>
      <c r="H525" s="3">
        <v>73128</v>
      </c>
      <c r="I525" s="3">
        <v>40541</v>
      </c>
      <c r="J525" s="3">
        <v>32687</v>
      </c>
      <c r="K525" s="3">
        <v>2220</v>
      </c>
      <c r="L525" s="3">
        <v>391</v>
      </c>
      <c r="M525" s="3">
        <v>265</v>
      </c>
      <c r="N525" s="3">
        <v>1170</v>
      </c>
      <c r="O525" s="3">
        <v>434</v>
      </c>
      <c r="P525" s="3">
        <v>21924</v>
      </c>
      <c r="Q525" s="3">
        <v>4046</v>
      </c>
      <c r="R525" s="4">
        <v>12.38</v>
      </c>
      <c r="S525" s="6">
        <f>GlowNestSocialTable3[[#This Row],[Link Clicks]]/GlowNestSocialTable3[[#This Row],[Reach]]</f>
        <v>1.3277449750665402E-2</v>
      </c>
    </row>
    <row r="526" spans="1:19">
      <c r="A526" t="s">
        <v>565</v>
      </c>
      <c r="B526" s="2">
        <v>45976</v>
      </c>
      <c r="C526" t="s">
        <v>33</v>
      </c>
      <c r="D526" t="s">
        <v>34</v>
      </c>
      <c r="E526" t="s">
        <v>27</v>
      </c>
      <c r="F526" t="s">
        <v>31</v>
      </c>
      <c r="G526" t="s">
        <v>38</v>
      </c>
      <c r="H526" s="3">
        <v>37379</v>
      </c>
      <c r="I526" s="3">
        <v>18192</v>
      </c>
      <c r="J526" s="3">
        <v>16182</v>
      </c>
      <c r="K526" s="3">
        <v>370</v>
      </c>
      <c r="L526" s="3">
        <v>55</v>
      </c>
      <c r="M526" s="3">
        <v>47</v>
      </c>
      <c r="N526" s="3">
        <v>30</v>
      </c>
      <c r="O526" s="3">
        <v>324</v>
      </c>
      <c r="P526" s="3"/>
      <c r="Q526" s="3">
        <v>502</v>
      </c>
      <c r="R526" s="4">
        <v>3.1</v>
      </c>
      <c r="S526" s="6">
        <f>GlowNestSocialTable3[[#This Row],[Link Clicks]]/GlowNestSocialTable3[[#This Row],[Reach]]</f>
        <v>2.0022246941045607E-2</v>
      </c>
    </row>
    <row r="527" spans="1:19">
      <c r="A527" t="s">
        <v>566</v>
      </c>
      <c r="B527" s="2">
        <v>45977</v>
      </c>
      <c r="C527" t="s">
        <v>36</v>
      </c>
      <c r="D527" t="s">
        <v>30</v>
      </c>
      <c r="E527" t="s">
        <v>27</v>
      </c>
      <c r="F527" t="s">
        <v>44</v>
      </c>
      <c r="G527" t="s">
        <v>23</v>
      </c>
      <c r="H527" s="3">
        <v>91923</v>
      </c>
      <c r="I527" s="3">
        <v>57455</v>
      </c>
      <c r="J527" s="3">
        <v>48168</v>
      </c>
      <c r="K527" s="3">
        <v>906</v>
      </c>
      <c r="L527" s="3">
        <v>173</v>
      </c>
      <c r="M527" s="3">
        <v>151</v>
      </c>
      <c r="N527" s="3">
        <v>118</v>
      </c>
      <c r="O527" s="3">
        <v>197</v>
      </c>
      <c r="P527" s="3"/>
      <c r="Q527" s="3">
        <v>1348</v>
      </c>
      <c r="R527" s="4">
        <v>2.8</v>
      </c>
      <c r="S527" s="6">
        <f>GlowNestSocialTable3[[#This Row],[Link Clicks]]/GlowNestSocialTable3[[#This Row],[Reach]]</f>
        <v>4.0898521840225877E-3</v>
      </c>
    </row>
    <row r="528" spans="1:19">
      <c r="A528" t="s">
        <v>567</v>
      </c>
      <c r="B528" s="2">
        <v>45977</v>
      </c>
      <c r="C528" t="s">
        <v>19</v>
      </c>
      <c r="D528" t="s">
        <v>30</v>
      </c>
      <c r="E528" t="s">
        <v>27</v>
      </c>
      <c r="F528" t="s">
        <v>31</v>
      </c>
      <c r="G528" t="s">
        <v>38</v>
      </c>
      <c r="H528" s="3">
        <v>75304</v>
      </c>
      <c r="I528" s="3">
        <v>46045</v>
      </c>
      <c r="J528" s="3">
        <v>40826</v>
      </c>
      <c r="K528" s="3">
        <v>1870</v>
      </c>
      <c r="L528" s="3">
        <v>239</v>
      </c>
      <c r="M528" s="3">
        <v>184</v>
      </c>
      <c r="N528" s="3">
        <v>215</v>
      </c>
      <c r="O528" s="3">
        <v>539</v>
      </c>
      <c r="P528" s="3"/>
      <c r="Q528" s="3">
        <v>2508</v>
      </c>
      <c r="R528" s="4">
        <v>6.14</v>
      </c>
      <c r="S528" s="6">
        <f>GlowNestSocialTable3[[#This Row],[Link Clicks]]/GlowNestSocialTable3[[#This Row],[Reach]]</f>
        <v>1.3202371038063978E-2</v>
      </c>
    </row>
    <row r="529" spans="1:19">
      <c r="A529" t="s">
        <v>568</v>
      </c>
      <c r="B529" s="2">
        <v>45978</v>
      </c>
      <c r="C529" t="s">
        <v>19</v>
      </c>
      <c r="D529" t="s">
        <v>34</v>
      </c>
      <c r="E529" t="s">
        <v>25</v>
      </c>
      <c r="F529" t="s">
        <v>31</v>
      </c>
      <c r="G529" t="s">
        <v>38</v>
      </c>
      <c r="H529" s="3">
        <v>76058</v>
      </c>
      <c r="I529" s="3">
        <v>48433</v>
      </c>
      <c r="J529" s="3">
        <v>32793</v>
      </c>
      <c r="K529" s="3">
        <v>519</v>
      </c>
      <c r="L529" s="3">
        <v>87</v>
      </c>
      <c r="M529" s="3">
        <v>43</v>
      </c>
      <c r="N529" s="3">
        <v>28</v>
      </c>
      <c r="O529" s="3">
        <v>324</v>
      </c>
      <c r="P529" s="3"/>
      <c r="Q529" s="3">
        <v>677</v>
      </c>
      <c r="R529" s="4">
        <v>2.06</v>
      </c>
      <c r="S529" s="6">
        <f>GlowNestSocialTable3[[#This Row],[Link Clicks]]/GlowNestSocialTable3[[#This Row],[Reach]]</f>
        <v>9.8801573506541035E-3</v>
      </c>
    </row>
    <row r="530" spans="1:19">
      <c r="A530" t="s">
        <v>569</v>
      </c>
      <c r="B530" s="2">
        <v>45978</v>
      </c>
      <c r="C530" t="s">
        <v>33</v>
      </c>
      <c r="D530" t="s">
        <v>37</v>
      </c>
      <c r="E530" t="s">
        <v>46</v>
      </c>
      <c r="F530" t="s">
        <v>42</v>
      </c>
      <c r="G530" t="s">
        <v>23</v>
      </c>
      <c r="H530" s="3">
        <v>38501</v>
      </c>
      <c r="I530" s="3">
        <v>14511</v>
      </c>
      <c r="J530" s="3">
        <v>10626</v>
      </c>
      <c r="K530" s="3">
        <v>370</v>
      </c>
      <c r="L530" s="3">
        <v>42</v>
      </c>
      <c r="M530" s="3">
        <v>47</v>
      </c>
      <c r="N530" s="3">
        <v>41</v>
      </c>
      <c r="O530" s="3">
        <v>186</v>
      </c>
      <c r="P530" s="3"/>
      <c r="Q530" s="3">
        <v>500</v>
      </c>
      <c r="R530" s="4">
        <v>4.71</v>
      </c>
      <c r="S530" s="6">
        <f>GlowNestSocialTable3[[#This Row],[Link Clicks]]/GlowNestSocialTable3[[#This Row],[Reach]]</f>
        <v>1.7504234895539244E-2</v>
      </c>
    </row>
    <row r="531" spans="1:19">
      <c r="A531" t="s">
        <v>570</v>
      </c>
      <c r="B531" s="2">
        <v>45979</v>
      </c>
      <c r="C531" t="s">
        <v>33</v>
      </c>
      <c r="D531" t="s">
        <v>37</v>
      </c>
      <c r="E531" t="s">
        <v>21</v>
      </c>
      <c r="F531" t="s">
        <v>22</v>
      </c>
      <c r="G531" t="s">
        <v>23</v>
      </c>
      <c r="H531" s="3">
        <v>34111</v>
      </c>
      <c r="I531" s="3">
        <v>13596</v>
      </c>
      <c r="J531" s="3">
        <v>9464</v>
      </c>
      <c r="K531" s="3">
        <v>353</v>
      </c>
      <c r="L531" s="3">
        <v>38</v>
      </c>
      <c r="M531" s="3">
        <v>34</v>
      </c>
      <c r="N531" s="3">
        <v>90</v>
      </c>
      <c r="O531" s="3">
        <v>130</v>
      </c>
      <c r="P531" s="3"/>
      <c r="Q531" s="3">
        <v>515</v>
      </c>
      <c r="R531" s="4">
        <v>5.44</v>
      </c>
      <c r="S531" s="6">
        <f>GlowNestSocialTable3[[#This Row],[Link Clicks]]/GlowNestSocialTable3[[#This Row],[Reach]]</f>
        <v>1.3736263736263736E-2</v>
      </c>
    </row>
    <row r="532" spans="1:19">
      <c r="A532" t="s">
        <v>571</v>
      </c>
      <c r="B532" s="2">
        <v>45980</v>
      </c>
      <c r="C532" t="s">
        <v>19</v>
      </c>
      <c r="D532" t="s">
        <v>37</v>
      </c>
      <c r="E532" t="s">
        <v>27</v>
      </c>
      <c r="F532" t="s">
        <v>28</v>
      </c>
      <c r="G532" t="s">
        <v>38</v>
      </c>
      <c r="H532" s="3">
        <v>74773</v>
      </c>
      <c r="I532" s="3">
        <v>48902</v>
      </c>
      <c r="J532" s="3">
        <v>38906</v>
      </c>
      <c r="K532" s="3">
        <v>2316</v>
      </c>
      <c r="L532" s="3">
        <v>398</v>
      </c>
      <c r="M532" s="3">
        <v>246</v>
      </c>
      <c r="N532" s="3">
        <v>186</v>
      </c>
      <c r="O532" s="3">
        <v>538</v>
      </c>
      <c r="P532" s="3"/>
      <c r="Q532" s="3">
        <v>3146</v>
      </c>
      <c r="R532" s="4">
        <v>8.09</v>
      </c>
      <c r="S532" s="6">
        <f>GlowNestSocialTable3[[#This Row],[Link Clicks]]/GlowNestSocialTable3[[#This Row],[Reach]]</f>
        <v>1.3828201305711201E-2</v>
      </c>
    </row>
    <row r="533" spans="1:19">
      <c r="A533" t="s">
        <v>572</v>
      </c>
      <c r="B533" s="2">
        <v>45980</v>
      </c>
      <c r="C533" t="s">
        <v>36</v>
      </c>
      <c r="D533" t="s">
        <v>37</v>
      </c>
      <c r="E533" t="s">
        <v>46</v>
      </c>
      <c r="F533" t="s">
        <v>42</v>
      </c>
      <c r="G533" t="s">
        <v>38</v>
      </c>
      <c r="H533" s="3">
        <v>89819</v>
      </c>
      <c r="I533" s="3">
        <v>61412</v>
      </c>
      <c r="J533" s="3">
        <v>56515</v>
      </c>
      <c r="K533" s="3">
        <v>813</v>
      </c>
      <c r="L533" s="3">
        <v>117</v>
      </c>
      <c r="M533" s="3">
        <v>116</v>
      </c>
      <c r="N533" s="3">
        <v>198</v>
      </c>
      <c r="O533" s="3">
        <v>292</v>
      </c>
      <c r="P533" s="3"/>
      <c r="Q533" s="3">
        <v>1244</v>
      </c>
      <c r="R533" s="4">
        <v>2.2000000000000002</v>
      </c>
      <c r="S533" s="6">
        <f>GlowNestSocialTable3[[#This Row],[Link Clicks]]/GlowNestSocialTable3[[#This Row],[Reach]]</f>
        <v>5.1667698841015661E-3</v>
      </c>
    </row>
    <row r="534" spans="1:19">
      <c r="A534" t="s">
        <v>573</v>
      </c>
      <c r="B534" s="2">
        <v>45981</v>
      </c>
      <c r="C534" t="s">
        <v>33</v>
      </c>
      <c r="D534" t="s">
        <v>34</v>
      </c>
      <c r="E534" t="s">
        <v>21</v>
      </c>
      <c r="F534" t="s">
        <v>44</v>
      </c>
      <c r="G534" t="s">
        <v>38</v>
      </c>
      <c r="H534" s="3">
        <v>33132</v>
      </c>
      <c r="I534" s="3">
        <v>14634</v>
      </c>
      <c r="J534" s="3">
        <v>11523</v>
      </c>
      <c r="K534" s="3">
        <v>267</v>
      </c>
      <c r="L534" s="3">
        <v>49</v>
      </c>
      <c r="M534" s="3">
        <v>43</v>
      </c>
      <c r="N534" s="3">
        <v>38</v>
      </c>
      <c r="O534" s="3">
        <v>133</v>
      </c>
      <c r="P534" s="3"/>
      <c r="Q534" s="3">
        <v>397</v>
      </c>
      <c r="R534" s="4">
        <v>3.45</v>
      </c>
      <c r="S534" s="6">
        <f>GlowNestSocialTable3[[#This Row],[Link Clicks]]/GlowNestSocialTable3[[#This Row],[Reach]]</f>
        <v>1.1542133125054239E-2</v>
      </c>
    </row>
    <row r="535" spans="1:19">
      <c r="A535" t="s">
        <v>574</v>
      </c>
      <c r="B535" s="2">
        <v>45981</v>
      </c>
      <c r="C535" t="s">
        <v>19</v>
      </c>
      <c r="D535" t="s">
        <v>37</v>
      </c>
      <c r="E535" t="s">
        <v>25</v>
      </c>
      <c r="F535" t="s">
        <v>28</v>
      </c>
      <c r="G535" t="s">
        <v>23</v>
      </c>
      <c r="H535" s="3">
        <v>74760</v>
      </c>
      <c r="I535" s="3">
        <v>28247</v>
      </c>
      <c r="J535" s="3">
        <v>24865</v>
      </c>
      <c r="K535" s="3">
        <v>590</v>
      </c>
      <c r="L535" s="3">
        <v>84</v>
      </c>
      <c r="M535" s="3">
        <v>64</v>
      </c>
      <c r="N535" s="3">
        <v>37</v>
      </c>
      <c r="O535" s="3">
        <v>268</v>
      </c>
      <c r="P535" s="3"/>
      <c r="Q535" s="3">
        <v>775</v>
      </c>
      <c r="R535" s="4">
        <v>3.12</v>
      </c>
      <c r="S535" s="6">
        <f>GlowNestSocialTable3[[#This Row],[Link Clicks]]/GlowNestSocialTable3[[#This Row],[Reach]]</f>
        <v>1.0778202292378846E-2</v>
      </c>
    </row>
    <row r="536" spans="1:19">
      <c r="A536" t="s">
        <v>575</v>
      </c>
      <c r="B536" s="2">
        <v>45982</v>
      </c>
      <c r="C536" t="s">
        <v>36</v>
      </c>
      <c r="D536" t="s">
        <v>30</v>
      </c>
      <c r="E536" t="s">
        <v>25</v>
      </c>
      <c r="F536" t="s">
        <v>44</v>
      </c>
      <c r="G536" t="s">
        <v>23</v>
      </c>
      <c r="H536" s="3">
        <v>91939</v>
      </c>
      <c r="I536" s="3">
        <v>56387</v>
      </c>
      <c r="J536" s="3">
        <v>38093</v>
      </c>
      <c r="K536" s="3">
        <v>269</v>
      </c>
      <c r="L536" s="3">
        <v>36</v>
      </c>
      <c r="M536" s="3">
        <v>43</v>
      </c>
      <c r="N536" s="3">
        <v>33</v>
      </c>
      <c r="O536" s="3">
        <v>112</v>
      </c>
      <c r="P536" s="3"/>
      <c r="Q536" s="3">
        <v>381</v>
      </c>
      <c r="R536" s="4">
        <v>1</v>
      </c>
      <c r="S536" s="6">
        <f>GlowNestSocialTable3[[#This Row],[Link Clicks]]/GlowNestSocialTable3[[#This Row],[Reach]]</f>
        <v>2.9401727351481902E-3</v>
      </c>
    </row>
    <row r="537" spans="1:19">
      <c r="A537" t="s">
        <v>576</v>
      </c>
      <c r="B537" s="2">
        <v>45983</v>
      </c>
      <c r="C537" t="s">
        <v>19</v>
      </c>
      <c r="D537" t="s">
        <v>20</v>
      </c>
      <c r="E537" t="s">
        <v>25</v>
      </c>
      <c r="F537" t="s">
        <v>44</v>
      </c>
      <c r="G537" t="s">
        <v>38</v>
      </c>
      <c r="H537" s="3">
        <v>75073</v>
      </c>
      <c r="I537" s="3">
        <v>55235</v>
      </c>
      <c r="J537" s="3">
        <v>48486</v>
      </c>
      <c r="K537" s="3">
        <v>1788</v>
      </c>
      <c r="L537" s="3">
        <v>184</v>
      </c>
      <c r="M537" s="3">
        <v>199</v>
      </c>
      <c r="N537" s="3">
        <v>245</v>
      </c>
      <c r="O537" s="3">
        <v>530</v>
      </c>
      <c r="P537" s="3">
        <v>41627</v>
      </c>
      <c r="Q537" s="3">
        <v>2416</v>
      </c>
      <c r="R537" s="4">
        <v>4.9800000000000004</v>
      </c>
      <c r="S537" s="6">
        <f>GlowNestSocialTable3[[#This Row],[Link Clicks]]/GlowNestSocialTable3[[#This Row],[Reach]]</f>
        <v>1.0930990388978263E-2</v>
      </c>
    </row>
    <row r="538" spans="1:19">
      <c r="A538" t="s">
        <v>577</v>
      </c>
      <c r="B538" s="2">
        <v>45983</v>
      </c>
      <c r="C538" t="s">
        <v>33</v>
      </c>
      <c r="D538" t="s">
        <v>34</v>
      </c>
      <c r="E538" t="s">
        <v>49</v>
      </c>
      <c r="F538" t="s">
        <v>28</v>
      </c>
      <c r="G538" t="s">
        <v>23</v>
      </c>
      <c r="H538" s="3">
        <v>36802</v>
      </c>
      <c r="I538" s="3">
        <v>7778</v>
      </c>
      <c r="J538" s="3">
        <v>5792</v>
      </c>
      <c r="K538" s="3">
        <v>124</v>
      </c>
      <c r="L538" s="3">
        <v>13</v>
      </c>
      <c r="M538" s="3">
        <v>20</v>
      </c>
      <c r="N538" s="3">
        <v>13</v>
      </c>
      <c r="O538" s="3">
        <v>68</v>
      </c>
      <c r="P538" s="3"/>
      <c r="Q538" s="3">
        <v>170</v>
      </c>
      <c r="R538" s="4">
        <v>2.94</v>
      </c>
      <c r="S538" s="6">
        <f>GlowNestSocialTable3[[#This Row],[Link Clicks]]/GlowNestSocialTable3[[#This Row],[Reach]]</f>
        <v>1.1740331491712707E-2</v>
      </c>
    </row>
    <row r="539" spans="1:19">
      <c r="A539" t="s">
        <v>578</v>
      </c>
      <c r="B539" s="2">
        <v>45984</v>
      </c>
      <c r="C539" t="s">
        <v>19</v>
      </c>
      <c r="D539" t="s">
        <v>37</v>
      </c>
      <c r="E539" t="s">
        <v>27</v>
      </c>
      <c r="F539" t="s">
        <v>22</v>
      </c>
      <c r="G539" t="s">
        <v>38</v>
      </c>
      <c r="H539" s="3">
        <v>74645</v>
      </c>
      <c r="I539" s="3">
        <v>66986</v>
      </c>
      <c r="J539" s="3">
        <v>43218</v>
      </c>
      <c r="K539" s="3">
        <v>2217</v>
      </c>
      <c r="L539" s="3">
        <v>351</v>
      </c>
      <c r="M539" s="3">
        <v>332</v>
      </c>
      <c r="N539" s="3">
        <v>149</v>
      </c>
      <c r="O539" s="3">
        <v>596</v>
      </c>
      <c r="P539" s="3"/>
      <c r="Q539" s="3">
        <v>3049</v>
      </c>
      <c r="R539" s="4">
        <v>7.05</v>
      </c>
      <c r="S539" s="6">
        <f>GlowNestSocialTable3[[#This Row],[Link Clicks]]/GlowNestSocialTable3[[#This Row],[Reach]]</f>
        <v>1.3790550233698922E-2</v>
      </c>
    </row>
    <row r="540" spans="1:19">
      <c r="A540" t="s">
        <v>579</v>
      </c>
      <c r="B540" s="2">
        <v>45984</v>
      </c>
      <c r="C540" t="s">
        <v>33</v>
      </c>
      <c r="D540" t="s">
        <v>37</v>
      </c>
      <c r="E540" t="s">
        <v>27</v>
      </c>
      <c r="F540" t="s">
        <v>22</v>
      </c>
      <c r="G540" t="s">
        <v>23</v>
      </c>
      <c r="H540" s="3">
        <v>34608</v>
      </c>
      <c r="I540" s="3">
        <v>10999</v>
      </c>
      <c r="J540" s="3">
        <v>9014</v>
      </c>
      <c r="K540" s="3">
        <v>293</v>
      </c>
      <c r="L540" s="3">
        <v>34</v>
      </c>
      <c r="M540" s="3">
        <v>49</v>
      </c>
      <c r="N540" s="3">
        <v>70</v>
      </c>
      <c r="O540" s="3">
        <v>154</v>
      </c>
      <c r="P540" s="3"/>
      <c r="Q540" s="3">
        <v>446</v>
      </c>
      <c r="R540" s="4">
        <v>4.95</v>
      </c>
      <c r="S540" s="6">
        <f>GlowNestSocialTable3[[#This Row],[Link Clicks]]/GlowNestSocialTable3[[#This Row],[Reach]]</f>
        <v>1.7084535167517196E-2</v>
      </c>
    </row>
    <row r="541" spans="1:19">
      <c r="A541" t="s">
        <v>580</v>
      </c>
      <c r="B541" s="2">
        <v>45985</v>
      </c>
      <c r="C541" t="s">
        <v>19</v>
      </c>
      <c r="D541" t="s">
        <v>30</v>
      </c>
      <c r="E541" t="s">
        <v>25</v>
      </c>
      <c r="F541" t="s">
        <v>42</v>
      </c>
      <c r="G541" t="s">
        <v>38</v>
      </c>
      <c r="H541" s="3">
        <v>75444</v>
      </c>
      <c r="I541" s="3">
        <v>55312</v>
      </c>
      <c r="J541" s="3">
        <v>43851</v>
      </c>
      <c r="K541" s="3">
        <v>744</v>
      </c>
      <c r="L541" s="3">
        <v>90</v>
      </c>
      <c r="M541" s="3">
        <v>82</v>
      </c>
      <c r="N541" s="3">
        <v>51</v>
      </c>
      <c r="O541" s="3">
        <v>263</v>
      </c>
      <c r="P541" s="3"/>
      <c r="Q541" s="3">
        <v>967</v>
      </c>
      <c r="R541" s="4">
        <v>2.21</v>
      </c>
      <c r="S541" s="6">
        <f>GlowNestSocialTable3[[#This Row],[Link Clicks]]/GlowNestSocialTable3[[#This Row],[Reach]]</f>
        <v>5.9975827233130375E-3</v>
      </c>
    </row>
    <row r="542" spans="1:19">
      <c r="A542" t="s">
        <v>581</v>
      </c>
      <c r="B542" s="2">
        <v>45986</v>
      </c>
      <c r="C542" t="s">
        <v>33</v>
      </c>
      <c r="D542" t="s">
        <v>30</v>
      </c>
      <c r="E542" t="s">
        <v>46</v>
      </c>
      <c r="F542" t="s">
        <v>44</v>
      </c>
      <c r="G542" t="s">
        <v>23</v>
      </c>
      <c r="H542" s="3">
        <v>35578</v>
      </c>
      <c r="I542" s="3">
        <v>7985</v>
      </c>
      <c r="J542" s="3">
        <v>6688</v>
      </c>
      <c r="K542" s="3">
        <v>158</v>
      </c>
      <c r="L542" s="3">
        <v>27</v>
      </c>
      <c r="M542" s="3">
        <v>18</v>
      </c>
      <c r="N542" s="3">
        <v>17</v>
      </c>
      <c r="O542" s="3">
        <v>75</v>
      </c>
      <c r="P542" s="3"/>
      <c r="Q542" s="3">
        <v>220</v>
      </c>
      <c r="R542" s="4">
        <v>3.29</v>
      </c>
      <c r="S542" s="6">
        <f>GlowNestSocialTable3[[#This Row],[Link Clicks]]/GlowNestSocialTable3[[#This Row],[Reach]]</f>
        <v>1.1214114832535885E-2</v>
      </c>
    </row>
    <row r="543" spans="1:19">
      <c r="A543" t="s">
        <v>582</v>
      </c>
      <c r="B543" s="2">
        <v>45986</v>
      </c>
      <c r="C543" t="s">
        <v>19</v>
      </c>
      <c r="D543" t="s">
        <v>20</v>
      </c>
      <c r="E543" t="s">
        <v>25</v>
      </c>
      <c r="F543" t="s">
        <v>22</v>
      </c>
      <c r="G543" t="s">
        <v>23</v>
      </c>
      <c r="H543" s="3">
        <v>74762</v>
      </c>
      <c r="I543" s="3">
        <v>53488</v>
      </c>
      <c r="J543" s="3">
        <v>37368</v>
      </c>
      <c r="K543" s="3">
        <v>1040</v>
      </c>
      <c r="L543" s="3">
        <v>113</v>
      </c>
      <c r="M543" s="3">
        <v>181</v>
      </c>
      <c r="N543" s="3">
        <v>247</v>
      </c>
      <c r="O543" s="3">
        <v>346</v>
      </c>
      <c r="P543" s="3">
        <v>26217</v>
      </c>
      <c r="Q543" s="3">
        <v>1581</v>
      </c>
      <c r="R543" s="4">
        <v>4.2300000000000004</v>
      </c>
      <c r="S543" s="6">
        <f>GlowNestSocialTable3[[#This Row],[Link Clicks]]/GlowNestSocialTable3[[#This Row],[Reach]]</f>
        <v>9.2592592592592587E-3</v>
      </c>
    </row>
    <row r="544" spans="1:19">
      <c r="A544" t="s">
        <v>583</v>
      </c>
      <c r="B544" s="2">
        <v>45987</v>
      </c>
      <c r="C544" t="s">
        <v>33</v>
      </c>
      <c r="D544" t="s">
        <v>30</v>
      </c>
      <c r="E544" t="s">
        <v>49</v>
      </c>
      <c r="F544" t="s">
        <v>44</v>
      </c>
      <c r="G544" t="s">
        <v>23</v>
      </c>
      <c r="H544" s="3">
        <v>36446</v>
      </c>
      <c r="I544" s="3">
        <v>7636</v>
      </c>
      <c r="J544" s="3">
        <v>6808</v>
      </c>
      <c r="K544" s="3">
        <v>149</v>
      </c>
      <c r="L544" s="3">
        <v>27</v>
      </c>
      <c r="M544" s="3">
        <v>27</v>
      </c>
      <c r="N544" s="3">
        <v>18</v>
      </c>
      <c r="O544" s="3">
        <v>73</v>
      </c>
      <c r="P544" s="3"/>
      <c r="Q544" s="3">
        <v>221</v>
      </c>
      <c r="R544" s="4">
        <v>3.25</v>
      </c>
      <c r="S544" s="6">
        <f>GlowNestSocialTable3[[#This Row],[Link Clicks]]/GlowNestSocialTable3[[#This Row],[Reach]]</f>
        <v>1.0722679200940071E-2</v>
      </c>
    </row>
    <row r="545" spans="1:19">
      <c r="A545" t="s">
        <v>584</v>
      </c>
      <c r="B545" s="2">
        <v>45987</v>
      </c>
      <c r="C545" t="s">
        <v>33</v>
      </c>
      <c r="D545" t="s">
        <v>30</v>
      </c>
      <c r="E545" t="s">
        <v>46</v>
      </c>
      <c r="F545" t="s">
        <v>44</v>
      </c>
      <c r="G545" t="s">
        <v>23</v>
      </c>
      <c r="H545" s="3">
        <v>34724</v>
      </c>
      <c r="I545" s="3">
        <v>11077</v>
      </c>
      <c r="J545" s="3">
        <v>7738</v>
      </c>
      <c r="K545" s="3">
        <v>144</v>
      </c>
      <c r="L545" s="3">
        <v>16</v>
      </c>
      <c r="M545" s="3">
        <v>21</v>
      </c>
      <c r="N545" s="3">
        <v>27</v>
      </c>
      <c r="O545" s="3">
        <v>83</v>
      </c>
      <c r="P545" s="3"/>
      <c r="Q545" s="3">
        <v>208</v>
      </c>
      <c r="R545" s="4">
        <v>2.69</v>
      </c>
      <c r="S545" s="6">
        <f>GlowNestSocialTable3[[#This Row],[Link Clicks]]/GlowNestSocialTable3[[#This Row],[Reach]]</f>
        <v>1.072628586197984E-2</v>
      </c>
    </row>
    <row r="546" spans="1:19">
      <c r="A546" t="s">
        <v>585</v>
      </c>
      <c r="B546" s="2">
        <v>45988</v>
      </c>
      <c r="C546" t="s">
        <v>33</v>
      </c>
      <c r="D546" t="s">
        <v>30</v>
      </c>
      <c r="E546" t="s">
        <v>49</v>
      </c>
      <c r="F546" t="s">
        <v>22</v>
      </c>
      <c r="G546" t="s">
        <v>23</v>
      </c>
      <c r="H546" s="3">
        <v>39367</v>
      </c>
      <c r="I546" s="3">
        <v>14673</v>
      </c>
      <c r="J546" s="3">
        <v>10336</v>
      </c>
      <c r="K546" s="3">
        <v>235</v>
      </c>
      <c r="L546" s="3">
        <v>38</v>
      </c>
      <c r="M546" s="3">
        <v>32</v>
      </c>
      <c r="N546" s="3">
        <v>12</v>
      </c>
      <c r="O546" s="3">
        <v>118</v>
      </c>
      <c r="P546" s="3"/>
      <c r="Q546" s="3">
        <v>317</v>
      </c>
      <c r="R546" s="4">
        <v>3.07</v>
      </c>
      <c r="S546" s="6">
        <f>GlowNestSocialTable3[[#This Row],[Link Clicks]]/GlowNestSocialTable3[[#This Row],[Reach]]</f>
        <v>1.141640866873065E-2</v>
      </c>
    </row>
    <row r="547" spans="1:19">
      <c r="A547" t="s">
        <v>586</v>
      </c>
      <c r="B547" s="2">
        <v>45989</v>
      </c>
      <c r="C547" t="s">
        <v>19</v>
      </c>
      <c r="D547" t="s">
        <v>30</v>
      </c>
      <c r="E547" t="s">
        <v>49</v>
      </c>
      <c r="F547" t="s">
        <v>42</v>
      </c>
      <c r="G547" t="s">
        <v>23</v>
      </c>
      <c r="H547" s="3">
        <v>73872</v>
      </c>
      <c r="I547" s="3">
        <v>24805</v>
      </c>
      <c r="J547" s="3">
        <v>17557</v>
      </c>
      <c r="K547" s="3">
        <v>722</v>
      </c>
      <c r="L547" s="3">
        <v>69</v>
      </c>
      <c r="M547" s="3">
        <v>63</v>
      </c>
      <c r="N547" s="3">
        <v>99</v>
      </c>
      <c r="O547" s="3">
        <v>142</v>
      </c>
      <c r="P547" s="3"/>
      <c r="Q547" s="3">
        <v>953</v>
      </c>
      <c r="R547" s="4">
        <v>5.43</v>
      </c>
      <c r="S547" s="6">
        <f>GlowNestSocialTable3[[#This Row],[Link Clicks]]/GlowNestSocialTable3[[#This Row],[Reach]]</f>
        <v>8.0879421313436242E-3</v>
      </c>
    </row>
    <row r="548" spans="1:19">
      <c r="A548" t="s">
        <v>587</v>
      </c>
      <c r="B548" s="2">
        <v>45989</v>
      </c>
      <c r="C548" t="s">
        <v>33</v>
      </c>
      <c r="D548" t="s">
        <v>34</v>
      </c>
      <c r="E548" t="s">
        <v>25</v>
      </c>
      <c r="F548" t="s">
        <v>22</v>
      </c>
      <c r="G548" t="s">
        <v>23</v>
      </c>
      <c r="H548" s="3">
        <v>36117</v>
      </c>
      <c r="I548" s="3">
        <v>8213</v>
      </c>
      <c r="J548" s="3">
        <v>7235</v>
      </c>
      <c r="K548" s="3">
        <v>120</v>
      </c>
      <c r="L548" s="3">
        <v>12</v>
      </c>
      <c r="M548" s="3">
        <v>12</v>
      </c>
      <c r="N548" s="3">
        <v>8</v>
      </c>
      <c r="O548" s="3">
        <v>85</v>
      </c>
      <c r="P548" s="3"/>
      <c r="Q548" s="3">
        <v>152</v>
      </c>
      <c r="R548" s="4">
        <v>2.1</v>
      </c>
      <c r="S548" s="6">
        <f>GlowNestSocialTable3[[#This Row],[Link Clicks]]/GlowNestSocialTable3[[#This Row],[Reach]]</f>
        <v>1.1748445058742226E-2</v>
      </c>
    </row>
    <row r="549" spans="1:19">
      <c r="A549" t="s">
        <v>588</v>
      </c>
      <c r="B549" s="2">
        <v>45990</v>
      </c>
      <c r="C549" t="s">
        <v>36</v>
      </c>
      <c r="D549" t="s">
        <v>30</v>
      </c>
      <c r="E549" t="s">
        <v>25</v>
      </c>
      <c r="F549" t="s">
        <v>22</v>
      </c>
      <c r="G549" t="s">
        <v>235</v>
      </c>
      <c r="H549" s="3">
        <v>89593</v>
      </c>
      <c r="I549" s="3">
        <v>50160</v>
      </c>
      <c r="J549" s="3">
        <v>43009</v>
      </c>
      <c r="K549" s="3">
        <v>436</v>
      </c>
      <c r="L549" s="3">
        <v>41</v>
      </c>
      <c r="M549" s="3">
        <v>62</v>
      </c>
      <c r="N549" s="3">
        <v>26</v>
      </c>
      <c r="O549" s="3">
        <v>162</v>
      </c>
      <c r="P549" s="3"/>
      <c r="Q549" s="3">
        <v>565</v>
      </c>
      <c r="R549" s="4">
        <v>1.31</v>
      </c>
      <c r="S549" s="6">
        <f>GlowNestSocialTable3[[#This Row],[Link Clicks]]/GlowNestSocialTable3[[#This Row],[Reach]]</f>
        <v>3.7666534911297636E-3</v>
      </c>
    </row>
    <row r="550" spans="1:19">
      <c r="A550" t="s">
        <v>589</v>
      </c>
      <c r="B550" s="2">
        <v>45991</v>
      </c>
      <c r="C550" t="s">
        <v>19</v>
      </c>
      <c r="D550" t="s">
        <v>20</v>
      </c>
      <c r="E550" t="s">
        <v>25</v>
      </c>
      <c r="F550" t="s">
        <v>22</v>
      </c>
      <c r="G550" t="s">
        <v>23</v>
      </c>
      <c r="H550" s="3">
        <v>74690</v>
      </c>
      <c r="I550" s="3">
        <v>54032</v>
      </c>
      <c r="J550" s="3">
        <v>37538</v>
      </c>
      <c r="K550" s="3">
        <v>1608</v>
      </c>
      <c r="L550" s="3">
        <v>154</v>
      </c>
      <c r="M550" s="3">
        <v>130</v>
      </c>
      <c r="N550" s="3">
        <v>217</v>
      </c>
      <c r="O550" s="3">
        <v>330</v>
      </c>
      <c r="P550" s="3">
        <v>22188</v>
      </c>
      <c r="Q550" s="3">
        <v>2109</v>
      </c>
      <c r="R550" s="4">
        <v>5.62</v>
      </c>
      <c r="S550" s="6">
        <f>GlowNestSocialTable3[[#This Row],[Link Clicks]]/GlowNestSocialTable3[[#This Row],[Reach]]</f>
        <v>8.7910916937503324E-3</v>
      </c>
    </row>
    <row r="551" spans="1:19">
      <c r="A551" t="s">
        <v>590</v>
      </c>
      <c r="B551" s="2">
        <v>45991</v>
      </c>
      <c r="C551" t="s">
        <v>19</v>
      </c>
      <c r="D551" t="s">
        <v>20</v>
      </c>
      <c r="E551" t="s">
        <v>46</v>
      </c>
      <c r="F551" t="s">
        <v>31</v>
      </c>
      <c r="G551" t="s">
        <v>23</v>
      </c>
      <c r="H551" s="3">
        <v>76897</v>
      </c>
      <c r="I551" s="3">
        <v>43137</v>
      </c>
      <c r="J551" s="3">
        <v>28282</v>
      </c>
      <c r="K551" s="3">
        <v>1263</v>
      </c>
      <c r="L551" s="3">
        <v>194</v>
      </c>
      <c r="M551" s="3">
        <v>198</v>
      </c>
      <c r="N551" s="3">
        <v>235</v>
      </c>
      <c r="O551" s="3">
        <v>253</v>
      </c>
      <c r="P551" s="3">
        <v>25180</v>
      </c>
      <c r="Q551" s="3">
        <v>1890</v>
      </c>
      <c r="R551" s="4">
        <v>6.68</v>
      </c>
      <c r="S551" s="6">
        <f>GlowNestSocialTable3[[#This Row],[Link Clicks]]/GlowNestSocialTable3[[#This Row],[Reach]]</f>
        <v>8.9456191217028493E-3</v>
      </c>
    </row>
    <row r="552" spans="1:19">
      <c r="A552" t="s">
        <v>591</v>
      </c>
      <c r="B552" s="2">
        <v>45992</v>
      </c>
      <c r="C552" t="s">
        <v>19</v>
      </c>
      <c r="D552" t="s">
        <v>20</v>
      </c>
      <c r="E552" t="s">
        <v>25</v>
      </c>
      <c r="F552" t="s">
        <v>28</v>
      </c>
      <c r="G552" t="s">
        <v>23</v>
      </c>
      <c r="H552" s="3">
        <v>75260</v>
      </c>
      <c r="I552" s="3">
        <v>62905</v>
      </c>
      <c r="J552" s="3">
        <v>41712</v>
      </c>
      <c r="K552" s="3">
        <v>1313</v>
      </c>
      <c r="L552" s="3">
        <v>247</v>
      </c>
      <c r="M552" s="3">
        <v>230</v>
      </c>
      <c r="N552" s="3">
        <v>179</v>
      </c>
      <c r="O552" s="3">
        <v>378</v>
      </c>
      <c r="P552" s="3">
        <v>32491</v>
      </c>
      <c r="Q552" s="3">
        <v>1969</v>
      </c>
      <c r="R552" s="4">
        <v>4.72</v>
      </c>
      <c r="S552" s="6">
        <f>GlowNestSocialTable3[[#This Row],[Link Clicks]]/GlowNestSocialTable3[[#This Row],[Reach]]</f>
        <v>9.0621403912543152E-3</v>
      </c>
    </row>
    <row r="553" spans="1:19">
      <c r="A553" t="s">
        <v>592</v>
      </c>
      <c r="B553" s="2">
        <v>45992</v>
      </c>
      <c r="C553" t="s">
        <v>33</v>
      </c>
      <c r="D553" t="s">
        <v>20</v>
      </c>
      <c r="E553" t="s">
        <v>21</v>
      </c>
      <c r="F553" t="s">
        <v>44</v>
      </c>
      <c r="G553" t="s">
        <v>23</v>
      </c>
      <c r="H553" s="3">
        <v>35510</v>
      </c>
      <c r="I553" s="3">
        <v>19821</v>
      </c>
      <c r="J553" s="3">
        <v>13037</v>
      </c>
      <c r="K553" s="3">
        <v>428</v>
      </c>
      <c r="L553" s="3">
        <v>76</v>
      </c>
      <c r="M553" s="3">
        <v>43</v>
      </c>
      <c r="N553" s="3">
        <v>76</v>
      </c>
      <c r="O553" s="3">
        <v>183</v>
      </c>
      <c r="P553" s="3">
        <v>9674</v>
      </c>
      <c r="Q553" s="3">
        <v>623</v>
      </c>
      <c r="R553" s="4">
        <v>4.78</v>
      </c>
      <c r="S553" s="6">
        <f>GlowNestSocialTable3[[#This Row],[Link Clicks]]/GlowNestSocialTable3[[#This Row],[Reach]]</f>
        <v>1.4036971695942318E-2</v>
      </c>
    </row>
    <row r="554" spans="1:19">
      <c r="A554" t="s">
        <v>593</v>
      </c>
      <c r="B554" s="2">
        <v>45993</v>
      </c>
      <c r="C554" t="s">
        <v>36</v>
      </c>
      <c r="D554" t="s">
        <v>34</v>
      </c>
      <c r="E554" t="s">
        <v>27</v>
      </c>
      <c r="F554" t="s">
        <v>44</v>
      </c>
      <c r="G554" t="s">
        <v>23</v>
      </c>
      <c r="H554" s="3">
        <v>93104</v>
      </c>
      <c r="I554" s="3">
        <v>50780</v>
      </c>
      <c r="J554" s="3">
        <v>33418</v>
      </c>
      <c r="K554" s="3">
        <v>590</v>
      </c>
      <c r="L554" s="3">
        <v>71</v>
      </c>
      <c r="M554" s="3">
        <v>60</v>
      </c>
      <c r="N554" s="3">
        <v>152</v>
      </c>
      <c r="O554" s="3">
        <v>246</v>
      </c>
      <c r="P554" s="3"/>
      <c r="Q554" s="3">
        <v>873</v>
      </c>
      <c r="R554" s="4">
        <v>2.61</v>
      </c>
      <c r="S554" s="6">
        <f>GlowNestSocialTable3[[#This Row],[Link Clicks]]/GlowNestSocialTable3[[#This Row],[Reach]]</f>
        <v>7.361302292177868E-3</v>
      </c>
    </row>
    <row r="555" spans="1:19">
      <c r="A555" t="s">
        <v>594</v>
      </c>
      <c r="B555" s="2">
        <v>45994</v>
      </c>
      <c r="C555" t="s">
        <v>36</v>
      </c>
      <c r="D555" t="s">
        <v>30</v>
      </c>
      <c r="E555" t="s">
        <v>46</v>
      </c>
      <c r="F555" t="s">
        <v>44</v>
      </c>
      <c r="G555" t="s">
        <v>23</v>
      </c>
      <c r="H555" s="3">
        <v>90520</v>
      </c>
      <c r="I555" s="3">
        <v>37734</v>
      </c>
      <c r="J555" s="3">
        <v>26582</v>
      </c>
      <c r="K555" s="3">
        <v>267</v>
      </c>
      <c r="L555" s="3">
        <v>35</v>
      </c>
      <c r="M555" s="3">
        <v>33</v>
      </c>
      <c r="N555" s="3">
        <v>69</v>
      </c>
      <c r="O555" s="3">
        <v>157</v>
      </c>
      <c r="P555" s="3"/>
      <c r="Q555" s="3">
        <v>404</v>
      </c>
      <c r="R555" s="4">
        <v>1.52</v>
      </c>
      <c r="S555" s="6">
        <f>GlowNestSocialTable3[[#This Row],[Link Clicks]]/GlowNestSocialTable3[[#This Row],[Reach]]</f>
        <v>5.9062523512151081E-3</v>
      </c>
    </row>
    <row r="556" spans="1:19">
      <c r="A556" t="s">
        <v>595</v>
      </c>
      <c r="B556" s="2">
        <v>45994</v>
      </c>
      <c r="C556" t="s">
        <v>36</v>
      </c>
      <c r="D556" t="s">
        <v>34</v>
      </c>
      <c r="E556" t="s">
        <v>25</v>
      </c>
      <c r="F556" t="s">
        <v>22</v>
      </c>
      <c r="G556" t="s">
        <v>23</v>
      </c>
      <c r="H556" s="3">
        <v>90027</v>
      </c>
      <c r="I556" s="3">
        <v>39421</v>
      </c>
      <c r="J556" s="3">
        <v>27905</v>
      </c>
      <c r="K556" s="3">
        <v>261</v>
      </c>
      <c r="L556" s="3">
        <v>27</v>
      </c>
      <c r="M556" s="3">
        <v>28</v>
      </c>
      <c r="N556" s="3">
        <v>20</v>
      </c>
      <c r="O556" s="3">
        <v>100</v>
      </c>
      <c r="P556" s="3"/>
      <c r="Q556" s="3">
        <v>336</v>
      </c>
      <c r="R556" s="4">
        <v>1.2</v>
      </c>
      <c r="S556" s="6">
        <f>GlowNestSocialTable3[[#This Row],[Link Clicks]]/GlowNestSocialTable3[[#This Row],[Reach]]</f>
        <v>3.5835871707579287E-3</v>
      </c>
    </row>
    <row r="557" spans="1:19">
      <c r="A557" t="s">
        <v>596</v>
      </c>
      <c r="B557" s="2">
        <v>45995</v>
      </c>
      <c r="C557" t="s">
        <v>33</v>
      </c>
      <c r="D557" t="s">
        <v>20</v>
      </c>
      <c r="E557" t="s">
        <v>21</v>
      </c>
      <c r="F557" t="s">
        <v>42</v>
      </c>
      <c r="G557" t="s">
        <v>23</v>
      </c>
      <c r="H557" s="3">
        <v>36404</v>
      </c>
      <c r="I557" s="3">
        <v>18663</v>
      </c>
      <c r="J557" s="3">
        <v>12324</v>
      </c>
      <c r="K557" s="3">
        <v>541</v>
      </c>
      <c r="L557" s="3">
        <v>93</v>
      </c>
      <c r="M557" s="3">
        <v>63</v>
      </c>
      <c r="N557" s="3">
        <v>134</v>
      </c>
      <c r="O557" s="3">
        <v>195</v>
      </c>
      <c r="P557" s="3">
        <v>10279</v>
      </c>
      <c r="Q557" s="3">
        <v>831</v>
      </c>
      <c r="R557" s="4">
        <v>6.74</v>
      </c>
      <c r="S557" s="6">
        <f>GlowNestSocialTable3[[#This Row],[Link Clicks]]/GlowNestSocialTable3[[#This Row],[Reach]]</f>
        <v>1.5822784810126583E-2</v>
      </c>
    </row>
    <row r="558" spans="1:19">
      <c r="A558" t="s">
        <v>597</v>
      </c>
      <c r="B558" s="2">
        <v>45995</v>
      </c>
      <c r="C558" t="s">
        <v>33</v>
      </c>
      <c r="D558" t="s">
        <v>37</v>
      </c>
      <c r="E558" t="s">
        <v>21</v>
      </c>
      <c r="F558" t="s">
        <v>28</v>
      </c>
      <c r="G558" t="s">
        <v>38</v>
      </c>
      <c r="H558" s="3">
        <v>36623</v>
      </c>
      <c r="I558" s="3">
        <v>22288</v>
      </c>
      <c r="J558" s="3">
        <v>15353</v>
      </c>
      <c r="K558" s="3">
        <v>381</v>
      </c>
      <c r="L558" s="3">
        <v>68</v>
      </c>
      <c r="M558" s="3">
        <v>46</v>
      </c>
      <c r="N558" s="3">
        <v>81</v>
      </c>
      <c r="O558" s="3">
        <v>236</v>
      </c>
      <c r="P558" s="3"/>
      <c r="Q558" s="3">
        <v>576</v>
      </c>
      <c r="R558" s="4">
        <v>3.75</v>
      </c>
      <c r="S558" s="6">
        <f>GlowNestSocialTable3[[#This Row],[Link Clicks]]/GlowNestSocialTable3[[#This Row],[Reach]]</f>
        <v>1.5371588614603009E-2</v>
      </c>
    </row>
    <row r="559" spans="1:19">
      <c r="A559" t="s">
        <v>598</v>
      </c>
      <c r="B559" s="2">
        <v>45996</v>
      </c>
      <c r="C559" t="s">
        <v>33</v>
      </c>
      <c r="D559" t="s">
        <v>30</v>
      </c>
      <c r="E559" t="s">
        <v>27</v>
      </c>
      <c r="F559" t="s">
        <v>22</v>
      </c>
      <c r="G559" t="s">
        <v>23</v>
      </c>
      <c r="H559" s="3">
        <v>36788</v>
      </c>
      <c r="I559" s="3">
        <v>16372</v>
      </c>
      <c r="J559" s="3">
        <v>11402</v>
      </c>
      <c r="K559" s="3">
        <v>368</v>
      </c>
      <c r="L559" s="3">
        <v>62</v>
      </c>
      <c r="M559" s="3">
        <v>44</v>
      </c>
      <c r="N559" s="3">
        <v>42</v>
      </c>
      <c r="O559" s="3">
        <v>179</v>
      </c>
      <c r="P559" s="3"/>
      <c r="Q559" s="3">
        <v>516</v>
      </c>
      <c r="R559" s="4">
        <v>4.53</v>
      </c>
      <c r="S559" s="6">
        <f>GlowNestSocialTable3[[#This Row],[Link Clicks]]/GlowNestSocialTable3[[#This Row],[Reach]]</f>
        <v>1.5699000175407825E-2</v>
      </c>
    </row>
    <row r="560" spans="1:19">
      <c r="A560" t="s">
        <v>599</v>
      </c>
      <c r="B560" s="2">
        <v>45997</v>
      </c>
      <c r="C560" t="s">
        <v>36</v>
      </c>
      <c r="D560" t="s">
        <v>37</v>
      </c>
      <c r="E560" t="s">
        <v>21</v>
      </c>
      <c r="F560" t="s">
        <v>44</v>
      </c>
      <c r="G560" t="s">
        <v>38</v>
      </c>
      <c r="H560" s="3">
        <v>91612</v>
      </c>
      <c r="I560" s="3">
        <v>65386</v>
      </c>
      <c r="J560" s="3">
        <v>55227</v>
      </c>
      <c r="K560" s="3">
        <v>936</v>
      </c>
      <c r="L560" s="3">
        <v>158</v>
      </c>
      <c r="M560" s="3">
        <v>129</v>
      </c>
      <c r="N560" s="3">
        <v>278</v>
      </c>
      <c r="O560" s="3">
        <v>202</v>
      </c>
      <c r="P560" s="3"/>
      <c r="Q560" s="3">
        <v>1501</v>
      </c>
      <c r="R560" s="4">
        <v>2.72</v>
      </c>
      <c r="S560" s="6">
        <f>GlowNestSocialTable3[[#This Row],[Link Clicks]]/GlowNestSocialTable3[[#This Row],[Reach]]</f>
        <v>3.6576312311007299E-3</v>
      </c>
    </row>
    <row r="561" spans="1:19">
      <c r="A561" t="s">
        <v>600</v>
      </c>
      <c r="B561" s="2">
        <v>45997</v>
      </c>
      <c r="C561" t="s">
        <v>33</v>
      </c>
      <c r="D561" t="s">
        <v>34</v>
      </c>
      <c r="E561" t="s">
        <v>27</v>
      </c>
      <c r="F561" t="s">
        <v>22</v>
      </c>
      <c r="G561" t="s">
        <v>23</v>
      </c>
      <c r="H561" s="3">
        <v>35143</v>
      </c>
      <c r="I561" s="3">
        <v>10179</v>
      </c>
      <c r="J561" s="3">
        <v>7217</v>
      </c>
      <c r="K561" s="3">
        <v>229</v>
      </c>
      <c r="L561" s="3">
        <v>24</v>
      </c>
      <c r="M561" s="3">
        <v>21</v>
      </c>
      <c r="N561" s="3">
        <v>33</v>
      </c>
      <c r="O561" s="3">
        <v>118</v>
      </c>
      <c r="P561" s="3"/>
      <c r="Q561" s="3">
        <v>307</v>
      </c>
      <c r="R561" s="4">
        <v>4.25</v>
      </c>
      <c r="S561" s="6">
        <f>GlowNestSocialTable3[[#This Row],[Link Clicks]]/GlowNestSocialTable3[[#This Row],[Reach]]</f>
        <v>1.6350284051544962E-2</v>
      </c>
    </row>
    <row r="562" spans="1:19">
      <c r="A562" t="s">
        <v>601</v>
      </c>
      <c r="B562" s="2">
        <v>45998</v>
      </c>
      <c r="C562" t="s">
        <v>19</v>
      </c>
      <c r="D562" t="s">
        <v>20</v>
      </c>
      <c r="E562" t="s">
        <v>27</v>
      </c>
      <c r="F562" t="s">
        <v>42</v>
      </c>
      <c r="G562" t="s">
        <v>23</v>
      </c>
      <c r="H562" s="3">
        <v>75090</v>
      </c>
      <c r="I562" s="3">
        <v>47774</v>
      </c>
      <c r="J562" s="3">
        <v>36665</v>
      </c>
      <c r="K562" s="3">
        <v>2652</v>
      </c>
      <c r="L562" s="3">
        <v>338</v>
      </c>
      <c r="M562" s="3">
        <v>442</v>
      </c>
      <c r="N562" s="3">
        <v>553</v>
      </c>
      <c r="O562" s="3">
        <v>547</v>
      </c>
      <c r="P562" s="3">
        <v>26918</v>
      </c>
      <c r="Q562" s="3">
        <v>3985</v>
      </c>
      <c r="R562" s="4">
        <v>10.87</v>
      </c>
      <c r="S562" s="6">
        <f>GlowNestSocialTable3[[#This Row],[Link Clicks]]/GlowNestSocialTable3[[#This Row],[Reach]]</f>
        <v>1.4918859948179463E-2</v>
      </c>
    </row>
    <row r="563" spans="1:19">
      <c r="A563" t="s">
        <v>602</v>
      </c>
      <c r="B563" s="2">
        <v>45998</v>
      </c>
      <c r="C563" t="s">
        <v>33</v>
      </c>
      <c r="D563" t="s">
        <v>37</v>
      </c>
      <c r="E563" t="s">
        <v>27</v>
      </c>
      <c r="F563" t="s">
        <v>31</v>
      </c>
      <c r="G563" t="s">
        <v>23</v>
      </c>
      <c r="H563" s="3">
        <v>37239</v>
      </c>
      <c r="I563" s="3">
        <v>13249</v>
      </c>
      <c r="J563" s="3">
        <v>9301</v>
      </c>
      <c r="K563" s="3">
        <v>343</v>
      </c>
      <c r="L563" s="3">
        <v>55</v>
      </c>
      <c r="M563" s="3">
        <v>39</v>
      </c>
      <c r="N563" s="3">
        <v>135</v>
      </c>
      <c r="O563" s="3">
        <v>153</v>
      </c>
      <c r="P563" s="3"/>
      <c r="Q563" s="3">
        <v>572</v>
      </c>
      <c r="R563" s="4">
        <v>6.15</v>
      </c>
      <c r="S563" s="6">
        <f>GlowNestSocialTable3[[#This Row],[Link Clicks]]/GlowNestSocialTable3[[#This Row],[Reach]]</f>
        <v>1.6449844102784647E-2</v>
      </c>
    </row>
    <row r="564" spans="1:19">
      <c r="A564" t="s">
        <v>603</v>
      </c>
      <c r="B564" s="2">
        <v>45999</v>
      </c>
      <c r="C564" t="s">
        <v>33</v>
      </c>
      <c r="D564" t="s">
        <v>34</v>
      </c>
      <c r="E564" t="s">
        <v>25</v>
      </c>
      <c r="F564" t="s">
        <v>44</v>
      </c>
      <c r="G564" t="s">
        <v>38</v>
      </c>
      <c r="H564" s="3">
        <v>36958</v>
      </c>
      <c r="I564" s="3">
        <v>12768</v>
      </c>
      <c r="J564" s="3">
        <v>11098</v>
      </c>
      <c r="K564" s="3">
        <v>169</v>
      </c>
      <c r="L564" s="3">
        <v>25</v>
      </c>
      <c r="M564" s="3">
        <v>21</v>
      </c>
      <c r="N564" s="3">
        <v>7</v>
      </c>
      <c r="O564" s="3">
        <v>97</v>
      </c>
      <c r="P564" s="3"/>
      <c r="Q564" s="3">
        <v>222</v>
      </c>
      <c r="R564" s="4">
        <v>2</v>
      </c>
      <c r="S564" s="6">
        <f>GlowNestSocialTable3[[#This Row],[Link Clicks]]/GlowNestSocialTable3[[#This Row],[Reach]]</f>
        <v>8.7403135700126148E-3</v>
      </c>
    </row>
    <row r="565" spans="1:19">
      <c r="A565" t="s">
        <v>604</v>
      </c>
      <c r="B565" s="2">
        <v>46000</v>
      </c>
      <c r="C565" t="s">
        <v>36</v>
      </c>
      <c r="D565" t="s">
        <v>37</v>
      </c>
      <c r="E565" t="s">
        <v>21</v>
      </c>
      <c r="F565" t="s">
        <v>22</v>
      </c>
      <c r="G565" t="s">
        <v>23</v>
      </c>
      <c r="H565" s="3">
        <v>92087</v>
      </c>
      <c r="I565" s="3">
        <v>65035</v>
      </c>
      <c r="J565" s="3">
        <v>48247</v>
      </c>
      <c r="K565" s="3">
        <v>755</v>
      </c>
      <c r="L565" s="3">
        <v>140</v>
      </c>
      <c r="M565" s="3">
        <v>67</v>
      </c>
      <c r="N565" s="3">
        <v>176</v>
      </c>
      <c r="O565" s="3">
        <v>195</v>
      </c>
      <c r="P565" s="3"/>
      <c r="Q565" s="3">
        <v>1138</v>
      </c>
      <c r="R565" s="4">
        <v>2.36</v>
      </c>
      <c r="S565" s="6">
        <f>GlowNestSocialTable3[[#This Row],[Link Clicks]]/GlowNestSocialTable3[[#This Row],[Reach]]</f>
        <v>4.0417020747403982E-3</v>
      </c>
    </row>
    <row r="566" spans="1:19">
      <c r="A566" t="s">
        <v>605</v>
      </c>
      <c r="B566" s="2">
        <v>46000</v>
      </c>
      <c r="C566" t="s">
        <v>19</v>
      </c>
      <c r="D566" t="s">
        <v>37</v>
      </c>
      <c r="E566" t="s">
        <v>46</v>
      </c>
      <c r="F566" t="s">
        <v>22</v>
      </c>
      <c r="G566" t="s">
        <v>23</v>
      </c>
      <c r="H566" s="3">
        <v>76616</v>
      </c>
      <c r="I566" s="3">
        <v>36772</v>
      </c>
      <c r="J566" s="3">
        <v>25889</v>
      </c>
      <c r="K566" s="3">
        <v>909</v>
      </c>
      <c r="L566" s="3">
        <v>149</v>
      </c>
      <c r="M566" s="3">
        <v>116</v>
      </c>
      <c r="N566" s="3">
        <v>232</v>
      </c>
      <c r="O566" s="3">
        <v>309</v>
      </c>
      <c r="P566" s="3"/>
      <c r="Q566" s="3">
        <v>1406</v>
      </c>
      <c r="R566" s="4">
        <v>5.43</v>
      </c>
      <c r="S566" s="6">
        <f>GlowNestSocialTable3[[#This Row],[Link Clicks]]/GlowNestSocialTable3[[#This Row],[Reach]]</f>
        <v>1.1935571091969563E-2</v>
      </c>
    </row>
    <row r="567" spans="1:19">
      <c r="A567" t="s">
        <v>606</v>
      </c>
      <c r="B567" s="2">
        <v>46001</v>
      </c>
      <c r="C567" t="s">
        <v>19</v>
      </c>
      <c r="D567" t="s">
        <v>37</v>
      </c>
      <c r="E567" t="s">
        <v>25</v>
      </c>
      <c r="F567" t="s">
        <v>28</v>
      </c>
      <c r="G567" t="s">
        <v>38</v>
      </c>
      <c r="H567" s="3">
        <v>76028</v>
      </c>
      <c r="I567" s="3">
        <v>62742</v>
      </c>
      <c r="J567" s="3">
        <v>48144</v>
      </c>
      <c r="K567" s="3">
        <v>1313</v>
      </c>
      <c r="L567" s="3">
        <v>191</v>
      </c>
      <c r="M567" s="3">
        <v>141</v>
      </c>
      <c r="N567" s="3">
        <v>215</v>
      </c>
      <c r="O567" s="3">
        <v>538</v>
      </c>
      <c r="P567" s="3"/>
      <c r="Q567" s="3">
        <v>1860</v>
      </c>
      <c r="R567" s="4">
        <v>3.86</v>
      </c>
      <c r="S567" s="6">
        <f>GlowNestSocialTable3[[#This Row],[Link Clicks]]/GlowNestSocialTable3[[#This Row],[Reach]]</f>
        <v>1.1174808906613492E-2</v>
      </c>
    </row>
    <row r="568" spans="1:19">
      <c r="A568" t="s">
        <v>607</v>
      </c>
      <c r="B568" s="2">
        <v>46001</v>
      </c>
      <c r="C568" t="s">
        <v>19</v>
      </c>
      <c r="D568" t="s">
        <v>20</v>
      </c>
      <c r="E568" t="s">
        <v>49</v>
      </c>
      <c r="F568" t="s">
        <v>22</v>
      </c>
      <c r="G568" t="s">
        <v>23</v>
      </c>
      <c r="H568" s="3">
        <v>76613</v>
      </c>
      <c r="I568" s="3">
        <v>42700</v>
      </c>
      <c r="J568" s="3">
        <v>39289</v>
      </c>
      <c r="K568" s="3">
        <v>2113</v>
      </c>
      <c r="L568" s="3">
        <v>291</v>
      </c>
      <c r="M568" s="3">
        <v>310</v>
      </c>
      <c r="N568" s="3">
        <v>368</v>
      </c>
      <c r="O568" s="3">
        <v>390</v>
      </c>
      <c r="P568" s="3">
        <v>26037</v>
      </c>
      <c r="Q568" s="3">
        <v>3082</v>
      </c>
      <c r="R568" s="4">
        <v>7.84</v>
      </c>
      <c r="S568" s="6">
        <f>GlowNestSocialTable3[[#This Row],[Link Clicks]]/GlowNestSocialTable3[[#This Row],[Reach]]</f>
        <v>9.9264425157168674E-3</v>
      </c>
    </row>
    <row r="569" spans="1:19">
      <c r="A569" t="s">
        <v>608</v>
      </c>
      <c r="B569" s="2">
        <v>46002</v>
      </c>
      <c r="C569" t="s">
        <v>33</v>
      </c>
      <c r="D569" t="s">
        <v>34</v>
      </c>
      <c r="E569" t="s">
        <v>49</v>
      </c>
      <c r="F569" t="s">
        <v>22</v>
      </c>
      <c r="G569" t="s">
        <v>23</v>
      </c>
      <c r="H569" s="3">
        <v>35904</v>
      </c>
      <c r="I569" s="3">
        <v>9093</v>
      </c>
      <c r="J569" s="3">
        <v>5893</v>
      </c>
      <c r="K569" s="3">
        <v>134</v>
      </c>
      <c r="L569" s="3">
        <v>23</v>
      </c>
      <c r="M569" s="3">
        <v>17</v>
      </c>
      <c r="N569" s="3">
        <v>5</v>
      </c>
      <c r="O569" s="3">
        <v>82</v>
      </c>
      <c r="P569" s="3"/>
      <c r="Q569" s="3">
        <v>179</v>
      </c>
      <c r="R569" s="4">
        <v>3.04</v>
      </c>
      <c r="S569" s="6">
        <f>GlowNestSocialTable3[[#This Row],[Link Clicks]]/GlowNestSocialTable3[[#This Row],[Reach]]</f>
        <v>1.3914814186322755E-2</v>
      </c>
    </row>
    <row r="570" spans="1:19">
      <c r="A570" t="s">
        <v>609</v>
      </c>
      <c r="B570" s="2">
        <v>46003</v>
      </c>
      <c r="C570" t="s">
        <v>33</v>
      </c>
      <c r="D570" t="s">
        <v>37</v>
      </c>
      <c r="E570" t="s">
        <v>25</v>
      </c>
      <c r="F570" t="s">
        <v>31</v>
      </c>
      <c r="G570" t="s">
        <v>23</v>
      </c>
      <c r="H570" s="3">
        <v>34473</v>
      </c>
      <c r="I570" s="3">
        <v>14202</v>
      </c>
      <c r="J570" s="3">
        <v>9479</v>
      </c>
      <c r="K570" s="3">
        <v>185</v>
      </c>
      <c r="L570" s="3">
        <v>28</v>
      </c>
      <c r="M570" s="3">
        <v>32</v>
      </c>
      <c r="N570" s="3">
        <v>35</v>
      </c>
      <c r="O570" s="3">
        <v>111</v>
      </c>
      <c r="P570" s="3"/>
      <c r="Q570" s="3">
        <v>280</v>
      </c>
      <c r="R570" s="4">
        <v>2.95</v>
      </c>
      <c r="S570" s="6">
        <f>GlowNestSocialTable3[[#This Row],[Link Clicks]]/GlowNestSocialTable3[[#This Row],[Reach]]</f>
        <v>1.1710096001687941E-2</v>
      </c>
    </row>
    <row r="571" spans="1:19">
      <c r="A571" t="s">
        <v>610</v>
      </c>
      <c r="B571" s="2">
        <v>46003</v>
      </c>
      <c r="C571" t="s">
        <v>36</v>
      </c>
      <c r="D571" t="s">
        <v>20</v>
      </c>
      <c r="E571" t="s">
        <v>25</v>
      </c>
      <c r="F571" t="s">
        <v>42</v>
      </c>
      <c r="G571" t="s">
        <v>23</v>
      </c>
      <c r="H571" s="3">
        <v>92940</v>
      </c>
      <c r="I571" s="3">
        <v>88857</v>
      </c>
      <c r="J571" s="3">
        <v>60026</v>
      </c>
      <c r="K571" s="3">
        <v>852</v>
      </c>
      <c r="L571" s="3">
        <v>153</v>
      </c>
      <c r="M571" s="3">
        <v>103</v>
      </c>
      <c r="N571" s="3">
        <v>88</v>
      </c>
      <c r="O571" s="3">
        <v>216</v>
      </c>
      <c r="P571" s="3">
        <v>49495</v>
      </c>
      <c r="Q571" s="3">
        <v>1196</v>
      </c>
      <c r="R571" s="4">
        <v>1.99</v>
      </c>
      <c r="S571" s="6">
        <f>GlowNestSocialTable3[[#This Row],[Link Clicks]]/GlowNestSocialTable3[[#This Row],[Reach]]</f>
        <v>3.5984406757071934E-3</v>
      </c>
    </row>
    <row r="572" spans="1:19">
      <c r="A572" t="s">
        <v>611</v>
      </c>
      <c r="B572" s="2">
        <v>46004</v>
      </c>
      <c r="C572" t="s">
        <v>19</v>
      </c>
      <c r="D572" t="s">
        <v>37</v>
      </c>
      <c r="E572" t="s">
        <v>27</v>
      </c>
      <c r="F572" t="s">
        <v>28</v>
      </c>
      <c r="G572" t="s">
        <v>23</v>
      </c>
      <c r="H572" s="3">
        <v>76874</v>
      </c>
      <c r="I572" s="3">
        <v>43313</v>
      </c>
      <c r="J572" s="3">
        <v>34113</v>
      </c>
      <c r="K572" s="3">
        <v>1890</v>
      </c>
      <c r="L572" s="3">
        <v>262</v>
      </c>
      <c r="M572" s="3">
        <v>267</v>
      </c>
      <c r="N572" s="3">
        <v>395</v>
      </c>
      <c r="O572" s="3">
        <v>424</v>
      </c>
      <c r="P572" s="3"/>
      <c r="Q572" s="3">
        <v>2814</v>
      </c>
      <c r="R572" s="4">
        <v>8.25</v>
      </c>
      <c r="S572" s="6">
        <f>GlowNestSocialTable3[[#This Row],[Link Clicks]]/GlowNestSocialTable3[[#This Row],[Reach]]</f>
        <v>1.242927916043737E-2</v>
      </c>
    </row>
    <row r="573" spans="1:19">
      <c r="A573" t="s">
        <v>612</v>
      </c>
      <c r="B573" s="2">
        <v>46004</v>
      </c>
      <c r="C573" t="s">
        <v>19</v>
      </c>
      <c r="D573" t="s">
        <v>20</v>
      </c>
      <c r="E573" t="s">
        <v>46</v>
      </c>
      <c r="F573" t="s">
        <v>22</v>
      </c>
      <c r="G573" t="s">
        <v>38</v>
      </c>
      <c r="H573" s="3">
        <v>75808</v>
      </c>
      <c r="I573" s="3">
        <v>56741</v>
      </c>
      <c r="J573" s="3">
        <v>39105</v>
      </c>
      <c r="K573" s="3">
        <v>1804</v>
      </c>
      <c r="L573" s="3">
        <v>280</v>
      </c>
      <c r="M573" s="3">
        <v>194</v>
      </c>
      <c r="N573" s="3">
        <v>322</v>
      </c>
      <c r="O573" s="3">
        <v>556</v>
      </c>
      <c r="P573" s="3">
        <v>25882</v>
      </c>
      <c r="Q573" s="3">
        <v>2600</v>
      </c>
      <c r="R573" s="4">
        <v>6.65</v>
      </c>
      <c r="S573" s="6">
        <f>GlowNestSocialTable3[[#This Row],[Link Clicks]]/GlowNestSocialTable3[[#This Row],[Reach]]</f>
        <v>1.4218130673826877E-2</v>
      </c>
    </row>
    <row r="574" spans="1:19">
      <c r="A574" t="s">
        <v>613</v>
      </c>
      <c r="B574" s="2">
        <v>46005</v>
      </c>
      <c r="C574" t="s">
        <v>36</v>
      </c>
      <c r="D574" t="s">
        <v>20</v>
      </c>
      <c r="E574" t="s">
        <v>21</v>
      </c>
      <c r="F574" t="s">
        <v>44</v>
      </c>
      <c r="G574" t="s">
        <v>23</v>
      </c>
      <c r="H574" s="3">
        <v>92256</v>
      </c>
      <c r="I574" s="3">
        <v>58432</v>
      </c>
      <c r="J574" s="3">
        <v>52208</v>
      </c>
      <c r="K574" s="3">
        <v>1361</v>
      </c>
      <c r="L574" s="3">
        <v>198</v>
      </c>
      <c r="M574" s="3">
        <v>128</v>
      </c>
      <c r="N574" s="3">
        <v>256</v>
      </c>
      <c r="O574" s="3">
        <v>270</v>
      </c>
      <c r="P574" s="3">
        <v>45762</v>
      </c>
      <c r="Q574" s="3">
        <v>1943</v>
      </c>
      <c r="R574" s="4">
        <v>7.44</v>
      </c>
      <c r="S574" s="6">
        <f>GlowNestSocialTable3[[#This Row],[Link Clicks]]/GlowNestSocialTable3[[#This Row],[Reach]]</f>
        <v>5.171621207477781E-3</v>
      </c>
    </row>
    <row r="575" spans="1:19">
      <c r="A575" t="s">
        <v>614</v>
      </c>
      <c r="B575" s="2">
        <v>46006</v>
      </c>
      <c r="C575" t="s">
        <v>19</v>
      </c>
      <c r="D575" t="s">
        <v>30</v>
      </c>
      <c r="E575" t="s">
        <v>49</v>
      </c>
      <c r="F575" t="s">
        <v>42</v>
      </c>
      <c r="G575" t="s">
        <v>23</v>
      </c>
      <c r="H575" s="3">
        <v>76374</v>
      </c>
      <c r="I575" s="3">
        <v>34307</v>
      </c>
      <c r="J575" s="3">
        <v>27406</v>
      </c>
      <c r="K575" s="3">
        <v>959</v>
      </c>
      <c r="L575" s="3">
        <v>143</v>
      </c>
      <c r="M575" s="3">
        <v>110</v>
      </c>
      <c r="N575" s="3">
        <v>162</v>
      </c>
      <c r="O575" s="3">
        <v>251</v>
      </c>
      <c r="P575" s="3"/>
      <c r="Q575" s="3">
        <v>1374</v>
      </c>
      <c r="R575" s="4">
        <v>5.01</v>
      </c>
      <c r="S575" s="6">
        <f>GlowNestSocialTable3[[#This Row],[Link Clicks]]/GlowNestSocialTable3[[#This Row],[Reach]]</f>
        <v>9.1585784134860983E-3</v>
      </c>
    </row>
    <row r="576" spans="1:19">
      <c r="A576" t="s">
        <v>615</v>
      </c>
      <c r="B576" s="2">
        <v>46006</v>
      </c>
      <c r="C576" t="s">
        <v>33</v>
      </c>
      <c r="D576" t="s">
        <v>20</v>
      </c>
      <c r="E576" t="s">
        <v>27</v>
      </c>
      <c r="F576" t="s">
        <v>31</v>
      </c>
      <c r="G576" t="s">
        <v>38</v>
      </c>
      <c r="H576" s="3">
        <v>36660</v>
      </c>
      <c r="I576" s="3">
        <v>32221</v>
      </c>
      <c r="J576" s="3">
        <v>23800</v>
      </c>
      <c r="K576" s="3">
        <v>1053</v>
      </c>
      <c r="L576" s="3">
        <v>101</v>
      </c>
      <c r="M576" s="3">
        <v>86</v>
      </c>
      <c r="N576" s="3">
        <v>377</v>
      </c>
      <c r="O576" s="3">
        <v>472</v>
      </c>
      <c r="P576" s="3">
        <v>19659</v>
      </c>
      <c r="Q576" s="3">
        <v>1617</v>
      </c>
      <c r="R576" s="4">
        <v>6.79</v>
      </c>
      <c r="S576" s="6">
        <f>GlowNestSocialTable3[[#This Row],[Link Clicks]]/GlowNestSocialTable3[[#This Row],[Reach]]</f>
        <v>1.9831932773109243E-2</v>
      </c>
    </row>
    <row r="577" spans="1:19">
      <c r="A577" t="s">
        <v>616</v>
      </c>
      <c r="B577" s="2">
        <v>46007</v>
      </c>
      <c r="C577" t="s">
        <v>36</v>
      </c>
      <c r="D577" t="s">
        <v>37</v>
      </c>
      <c r="E577" t="s">
        <v>49</v>
      </c>
      <c r="F577" t="s">
        <v>28</v>
      </c>
      <c r="G577" t="s">
        <v>23</v>
      </c>
      <c r="H577" s="3">
        <v>88402</v>
      </c>
      <c r="I577" s="3">
        <v>43372</v>
      </c>
      <c r="J577" s="3">
        <v>37967</v>
      </c>
      <c r="K577" s="3">
        <v>804</v>
      </c>
      <c r="L577" s="3">
        <v>124</v>
      </c>
      <c r="M577" s="3">
        <v>122</v>
      </c>
      <c r="N577" s="3">
        <v>41</v>
      </c>
      <c r="O577" s="3">
        <v>187</v>
      </c>
      <c r="P577" s="3"/>
      <c r="Q577" s="3">
        <v>1091</v>
      </c>
      <c r="R577" s="4">
        <v>2.87</v>
      </c>
      <c r="S577" s="6">
        <f>GlowNestSocialTable3[[#This Row],[Link Clicks]]/GlowNestSocialTable3[[#This Row],[Reach]]</f>
        <v>4.9253298917480972E-3</v>
      </c>
    </row>
    <row r="578" spans="1:19">
      <c r="A578" t="s">
        <v>617</v>
      </c>
      <c r="B578" s="2">
        <v>46008</v>
      </c>
      <c r="C578" t="s">
        <v>19</v>
      </c>
      <c r="D578" t="s">
        <v>34</v>
      </c>
      <c r="E578" t="s">
        <v>27</v>
      </c>
      <c r="F578" t="s">
        <v>22</v>
      </c>
      <c r="G578" t="s">
        <v>38</v>
      </c>
      <c r="H578" s="3">
        <v>75886</v>
      </c>
      <c r="I578" s="3">
        <v>38658</v>
      </c>
      <c r="J578" s="3">
        <v>31642</v>
      </c>
      <c r="K578" s="3">
        <v>876</v>
      </c>
      <c r="L578" s="3">
        <v>136</v>
      </c>
      <c r="M578" s="3">
        <v>139</v>
      </c>
      <c r="N578" s="3">
        <v>46</v>
      </c>
      <c r="O578" s="3">
        <v>505</v>
      </c>
      <c r="P578" s="3"/>
      <c r="Q578" s="3">
        <v>1197</v>
      </c>
      <c r="R578" s="4">
        <v>3.78</v>
      </c>
      <c r="S578" s="6">
        <f>GlowNestSocialTable3[[#This Row],[Link Clicks]]/GlowNestSocialTable3[[#This Row],[Reach]]</f>
        <v>1.5959800265469944E-2</v>
      </c>
    </row>
    <row r="579" spans="1:19">
      <c r="A579" t="s">
        <v>618</v>
      </c>
      <c r="B579" s="2">
        <v>46008</v>
      </c>
      <c r="C579" t="s">
        <v>33</v>
      </c>
      <c r="D579" t="s">
        <v>20</v>
      </c>
      <c r="E579" t="s">
        <v>27</v>
      </c>
      <c r="F579" t="s">
        <v>42</v>
      </c>
      <c r="G579" t="s">
        <v>23</v>
      </c>
      <c r="H579" s="3">
        <v>36262</v>
      </c>
      <c r="I579" s="3">
        <v>17286</v>
      </c>
      <c r="J579" s="3">
        <v>11191</v>
      </c>
      <c r="K579" s="3">
        <v>415</v>
      </c>
      <c r="L579" s="3">
        <v>55</v>
      </c>
      <c r="M579" s="3">
        <v>69</v>
      </c>
      <c r="N579" s="3">
        <v>156</v>
      </c>
      <c r="O579" s="3">
        <v>195</v>
      </c>
      <c r="P579" s="3">
        <v>7171</v>
      </c>
      <c r="Q579" s="3">
        <v>695</v>
      </c>
      <c r="R579" s="4">
        <v>6.21</v>
      </c>
      <c r="S579" s="6">
        <f>GlowNestSocialTable3[[#This Row],[Link Clicks]]/GlowNestSocialTable3[[#This Row],[Reach]]</f>
        <v>1.7424716289875793E-2</v>
      </c>
    </row>
    <row r="580" spans="1:19">
      <c r="A580" t="s">
        <v>619</v>
      </c>
      <c r="B580" s="2">
        <v>46009</v>
      </c>
      <c r="C580" t="s">
        <v>36</v>
      </c>
      <c r="D580" t="s">
        <v>20</v>
      </c>
      <c r="E580" t="s">
        <v>27</v>
      </c>
      <c r="F580" t="s">
        <v>44</v>
      </c>
      <c r="G580" t="s">
        <v>23</v>
      </c>
      <c r="H580" s="3">
        <v>92061</v>
      </c>
      <c r="I580" s="3">
        <v>107876</v>
      </c>
      <c r="J580" s="3">
        <v>69752</v>
      </c>
      <c r="K580" s="3">
        <v>1595</v>
      </c>
      <c r="L580" s="3">
        <v>291</v>
      </c>
      <c r="M580" s="3">
        <v>169</v>
      </c>
      <c r="N580" s="3">
        <v>890</v>
      </c>
      <c r="O580" s="3">
        <v>324</v>
      </c>
      <c r="P580" s="3">
        <v>40514</v>
      </c>
      <c r="Q580" s="3">
        <v>2945</v>
      </c>
      <c r="R580" s="4">
        <v>4.22</v>
      </c>
      <c r="S580" s="6">
        <f>GlowNestSocialTable3[[#This Row],[Link Clicks]]/GlowNestSocialTable3[[#This Row],[Reach]]</f>
        <v>4.645028099552701E-3</v>
      </c>
    </row>
    <row r="581" spans="1:19">
      <c r="A581" t="s">
        <v>620</v>
      </c>
      <c r="B581" s="2">
        <v>46009</v>
      </c>
      <c r="C581" t="s">
        <v>33</v>
      </c>
      <c r="D581" t="s">
        <v>30</v>
      </c>
      <c r="E581" t="s">
        <v>27</v>
      </c>
      <c r="F581" t="s">
        <v>28</v>
      </c>
      <c r="G581" t="s">
        <v>23</v>
      </c>
      <c r="H581" s="3">
        <v>34538</v>
      </c>
      <c r="I581" s="3">
        <v>11935</v>
      </c>
      <c r="J581" s="3">
        <v>7802</v>
      </c>
      <c r="K581" s="3">
        <v>213</v>
      </c>
      <c r="L581" s="3">
        <v>27</v>
      </c>
      <c r="M581" s="3">
        <v>31</v>
      </c>
      <c r="N581" s="3">
        <v>54</v>
      </c>
      <c r="O581" s="3">
        <v>113</v>
      </c>
      <c r="P581" s="3"/>
      <c r="Q581" s="3">
        <v>325</v>
      </c>
      <c r="R581" s="4">
        <v>4.17</v>
      </c>
      <c r="S581" s="6">
        <f>GlowNestSocialTable3[[#This Row],[Link Clicks]]/GlowNestSocialTable3[[#This Row],[Reach]]</f>
        <v>1.448346577800564E-2</v>
      </c>
    </row>
    <row r="582" spans="1:19">
      <c r="A582" t="s">
        <v>621</v>
      </c>
      <c r="B582" s="2">
        <v>46010</v>
      </c>
      <c r="C582" t="s">
        <v>19</v>
      </c>
      <c r="D582" t="s">
        <v>37</v>
      </c>
      <c r="E582" t="s">
        <v>27</v>
      </c>
      <c r="F582" t="s">
        <v>22</v>
      </c>
      <c r="G582" t="s">
        <v>38</v>
      </c>
      <c r="H582" s="3">
        <v>76198</v>
      </c>
      <c r="I582" s="3">
        <v>75159</v>
      </c>
      <c r="J582" s="3">
        <v>53540</v>
      </c>
      <c r="K582" s="3">
        <v>3087</v>
      </c>
      <c r="L582" s="3">
        <v>354</v>
      </c>
      <c r="M582" s="3">
        <v>347</v>
      </c>
      <c r="N582" s="3">
        <v>612</v>
      </c>
      <c r="O582" s="3">
        <v>629</v>
      </c>
      <c r="P582" s="3"/>
      <c r="Q582" s="3">
        <v>4400</v>
      </c>
      <c r="R582" s="4">
        <v>8.2200000000000006</v>
      </c>
      <c r="S582" s="6">
        <f>GlowNestSocialTable3[[#This Row],[Link Clicks]]/GlowNestSocialTable3[[#This Row],[Reach]]</f>
        <v>1.1748225625700411E-2</v>
      </c>
    </row>
    <row r="583" spans="1:19">
      <c r="A583" t="s">
        <v>622</v>
      </c>
      <c r="B583" s="2">
        <v>46011</v>
      </c>
      <c r="C583" t="s">
        <v>19</v>
      </c>
      <c r="D583" t="s">
        <v>20</v>
      </c>
      <c r="E583" t="s">
        <v>27</v>
      </c>
      <c r="F583" t="s">
        <v>28</v>
      </c>
      <c r="G583" t="s">
        <v>38</v>
      </c>
      <c r="H583" s="3">
        <v>76113</v>
      </c>
      <c r="I583" s="3">
        <v>81415</v>
      </c>
      <c r="J583" s="3">
        <v>62694</v>
      </c>
      <c r="K583" s="3">
        <v>3285</v>
      </c>
      <c r="L583" s="3">
        <v>617</v>
      </c>
      <c r="M583" s="3">
        <v>484</v>
      </c>
      <c r="N583" s="3">
        <v>1522</v>
      </c>
      <c r="O583" s="3">
        <v>1029</v>
      </c>
      <c r="P583" s="3">
        <v>54902</v>
      </c>
      <c r="Q583" s="3">
        <v>5908</v>
      </c>
      <c r="R583" s="4">
        <v>9.42</v>
      </c>
      <c r="S583" s="6">
        <f>GlowNestSocialTable3[[#This Row],[Link Clicks]]/GlowNestSocialTable3[[#This Row],[Reach]]</f>
        <v>1.641305388075414E-2</v>
      </c>
    </row>
    <row r="584" spans="1:19">
      <c r="A584" t="s">
        <v>623</v>
      </c>
      <c r="B584" s="2">
        <v>46011</v>
      </c>
      <c r="C584" t="s">
        <v>36</v>
      </c>
      <c r="D584" t="s">
        <v>30</v>
      </c>
      <c r="E584" t="s">
        <v>21</v>
      </c>
      <c r="F584" t="s">
        <v>44</v>
      </c>
      <c r="G584" t="s">
        <v>23</v>
      </c>
      <c r="H584" s="3">
        <v>91045</v>
      </c>
      <c r="I584" s="3">
        <v>48821</v>
      </c>
      <c r="J584" s="3">
        <v>32986</v>
      </c>
      <c r="K584" s="3">
        <v>371</v>
      </c>
      <c r="L584" s="3">
        <v>66</v>
      </c>
      <c r="M584" s="3">
        <v>35</v>
      </c>
      <c r="N584" s="3">
        <v>57</v>
      </c>
      <c r="O584" s="3">
        <v>165</v>
      </c>
      <c r="P584" s="3"/>
      <c r="Q584" s="3">
        <v>529</v>
      </c>
      <c r="R584" s="4">
        <v>1.6</v>
      </c>
      <c r="S584" s="6">
        <f>GlowNestSocialTable3[[#This Row],[Link Clicks]]/GlowNestSocialTable3[[#This Row],[Reach]]</f>
        <v>5.0021221124113262E-3</v>
      </c>
    </row>
    <row r="585" spans="1:19">
      <c r="A585" t="s">
        <v>624</v>
      </c>
      <c r="B585" s="2">
        <v>46012</v>
      </c>
      <c r="C585" t="s">
        <v>33</v>
      </c>
      <c r="D585" t="s">
        <v>37</v>
      </c>
      <c r="E585" t="s">
        <v>46</v>
      </c>
      <c r="F585" t="s">
        <v>28</v>
      </c>
      <c r="G585" t="s">
        <v>38</v>
      </c>
      <c r="H585" s="3">
        <v>35542</v>
      </c>
      <c r="I585" s="3">
        <v>14541</v>
      </c>
      <c r="J585" s="3">
        <v>11399</v>
      </c>
      <c r="K585" s="3">
        <v>373</v>
      </c>
      <c r="L585" s="3">
        <v>60</v>
      </c>
      <c r="M585" s="3">
        <v>46</v>
      </c>
      <c r="N585" s="3">
        <v>16</v>
      </c>
      <c r="O585" s="3">
        <v>194</v>
      </c>
      <c r="P585" s="3"/>
      <c r="Q585" s="3">
        <v>495</v>
      </c>
      <c r="R585" s="4">
        <v>4.34</v>
      </c>
      <c r="S585" s="6">
        <f>GlowNestSocialTable3[[#This Row],[Link Clicks]]/GlowNestSocialTable3[[#This Row],[Reach]]</f>
        <v>1.7019036757610316E-2</v>
      </c>
    </row>
    <row r="586" spans="1:19">
      <c r="A586" t="s">
        <v>625</v>
      </c>
      <c r="B586" s="2">
        <v>46012</v>
      </c>
      <c r="C586" t="s">
        <v>19</v>
      </c>
      <c r="D586" t="s">
        <v>20</v>
      </c>
      <c r="E586" t="s">
        <v>27</v>
      </c>
      <c r="F586" t="s">
        <v>28</v>
      </c>
      <c r="G586" t="s">
        <v>38</v>
      </c>
      <c r="H586" s="3">
        <v>75598</v>
      </c>
      <c r="I586" s="3">
        <v>88407</v>
      </c>
      <c r="J586" s="3">
        <v>65417</v>
      </c>
      <c r="K586" s="3">
        <v>3902</v>
      </c>
      <c r="L586" s="3">
        <v>558</v>
      </c>
      <c r="M586" s="3">
        <v>532</v>
      </c>
      <c r="N586" s="3">
        <v>362</v>
      </c>
      <c r="O586" s="3">
        <v>1078</v>
      </c>
      <c r="P586" s="3">
        <v>42367</v>
      </c>
      <c r="Q586" s="3">
        <v>5354</v>
      </c>
      <c r="R586" s="4">
        <v>8.18</v>
      </c>
      <c r="S586" s="6">
        <f>GlowNestSocialTable3[[#This Row],[Link Clicks]]/GlowNestSocialTable3[[#This Row],[Reach]]</f>
        <v>1.6478896922818228E-2</v>
      </c>
    </row>
    <row r="587" spans="1:19">
      <c r="A587" t="s">
        <v>626</v>
      </c>
      <c r="B587" s="2">
        <v>46013</v>
      </c>
      <c r="C587" t="s">
        <v>33</v>
      </c>
      <c r="D587" t="s">
        <v>34</v>
      </c>
      <c r="E587" t="s">
        <v>25</v>
      </c>
      <c r="F587" t="s">
        <v>44</v>
      </c>
      <c r="G587" t="s">
        <v>23</v>
      </c>
      <c r="H587" s="3">
        <v>36253</v>
      </c>
      <c r="I587" s="3">
        <v>9687</v>
      </c>
      <c r="J587" s="3">
        <v>8434</v>
      </c>
      <c r="K587" s="3">
        <v>116</v>
      </c>
      <c r="L587" s="3">
        <v>17</v>
      </c>
      <c r="M587" s="3">
        <v>20</v>
      </c>
      <c r="N587" s="3">
        <v>12</v>
      </c>
      <c r="O587" s="3">
        <v>84</v>
      </c>
      <c r="P587" s="3"/>
      <c r="Q587" s="3">
        <v>165</v>
      </c>
      <c r="R587" s="4">
        <v>1.96</v>
      </c>
      <c r="S587" s="6">
        <f>GlowNestSocialTable3[[#This Row],[Link Clicks]]/GlowNestSocialTable3[[#This Row],[Reach]]</f>
        <v>9.9596869812663032E-3</v>
      </c>
    </row>
    <row r="588" spans="1:19">
      <c r="A588" t="s">
        <v>627</v>
      </c>
      <c r="B588" s="2">
        <v>46014</v>
      </c>
      <c r="C588" t="s">
        <v>33</v>
      </c>
      <c r="D588" t="s">
        <v>37</v>
      </c>
      <c r="E588" t="s">
        <v>27</v>
      </c>
      <c r="F588" t="s">
        <v>31</v>
      </c>
      <c r="G588" t="s">
        <v>23</v>
      </c>
      <c r="H588" s="3">
        <v>37213</v>
      </c>
      <c r="I588" s="3">
        <v>11588</v>
      </c>
      <c r="J588" s="3">
        <v>9421</v>
      </c>
      <c r="K588" s="3">
        <v>292</v>
      </c>
      <c r="L588" s="3">
        <v>47</v>
      </c>
      <c r="M588" s="3">
        <v>33</v>
      </c>
      <c r="N588" s="3">
        <v>46</v>
      </c>
      <c r="O588" s="3">
        <v>136</v>
      </c>
      <c r="P588" s="3"/>
      <c r="Q588" s="3">
        <v>418</v>
      </c>
      <c r="R588" s="4">
        <v>4.4400000000000004</v>
      </c>
      <c r="S588" s="6">
        <f>GlowNestSocialTable3[[#This Row],[Link Clicks]]/GlowNestSocialTable3[[#This Row],[Reach]]</f>
        <v>1.4435834837066128E-2</v>
      </c>
    </row>
    <row r="589" spans="1:19">
      <c r="A589" t="s">
        <v>628</v>
      </c>
      <c r="B589" s="2">
        <v>46014</v>
      </c>
      <c r="C589" t="s">
        <v>36</v>
      </c>
      <c r="D589" t="s">
        <v>34</v>
      </c>
      <c r="E589" t="s">
        <v>27</v>
      </c>
      <c r="F589" t="s">
        <v>42</v>
      </c>
      <c r="G589" t="s">
        <v>23</v>
      </c>
      <c r="H589" s="3">
        <v>92082</v>
      </c>
      <c r="I589" s="3">
        <v>64769</v>
      </c>
      <c r="J589" s="3">
        <v>45087</v>
      </c>
      <c r="K589" s="3">
        <v>778</v>
      </c>
      <c r="L589" s="3">
        <v>121</v>
      </c>
      <c r="M589" s="3">
        <v>79</v>
      </c>
      <c r="N589" s="3">
        <v>161</v>
      </c>
      <c r="O589" s="3">
        <v>354</v>
      </c>
      <c r="P589" s="3"/>
      <c r="Q589" s="3">
        <v>1139</v>
      </c>
      <c r="R589" s="4">
        <v>2.5299999999999998</v>
      </c>
      <c r="S589" s="6">
        <f>GlowNestSocialTable3[[#This Row],[Link Clicks]]/GlowNestSocialTable3[[#This Row],[Reach]]</f>
        <v>7.8514871248918754E-3</v>
      </c>
    </row>
    <row r="590" spans="1:19">
      <c r="A590" t="s">
        <v>629</v>
      </c>
      <c r="B590" s="2">
        <v>46015</v>
      </c>
      <c r="C590" t="s">
        <v>33</v>
      </c>
      <c r="D590" t="s">
        <v>20</v>
      </c>
      <c r="E590" t="s">
        <v>46</v>
      </c>
      <c r="F590" t="s">
        <v>22</v>
      </c>
      <c r="G590" t="s">
        <v>23</v>
      </c>
      <c r="H590" s="3">
        <v>36128</v>
      </c>
      <c r="I590" s="3">
        <v>12498</v>
      </c>
      <c r="J590" s="3">
        <v>8596</v>
      </c>
      <c r="K590" s="3">
        <v>367</v>
      </c>
      <c r="L590" s="3">
        <v>35</v>
      </c>
      <c r="M590" s="3">
        <v>56</v>
      </c>
      <c r="N590" s="3">
        <v>73</v>
      </c>
      <c r="O590" s="3">
        <v>140</v>
      </c>
      <c r="P590" s="3">
        <v>6676</v>
      </c>
      <c r="Q590" s="3">
        <v>531</v>
      </c>
      <c r="R590" s="4">
        <v>6.18</v>
      </c>
      <c r="S590" s="6">
        <f>GlowNestSocialTable3[[#This Row],[Link Clicks]]/GlowNestSocialTable3[[#This Row],[Reach]]</f>
        <v>1.6286644951140065E-2</v>
      </c>
    </row>
    <row r="591" spans="1:19">
      <c r="A591" t="s">
        <v>630</v>
      </c>
      <c r="B591" s="2">
        <v>46015</v>
      </c>
      <c r="C591" t="s">
        <v>33</v>
      </c>
      <c r="D591" t="s">
        <v>37</v>
      </c>
      <c r="E591" t="s">
        <v>27</v>
      </c>
      <c r="F591" t="s">
        <v>28</v>
      </c>
      <c r="G591" t="s">
        <v>23</v>
      </c>
      <c r="H591" s="3">
        <v>35046</v>
      </c>
      <c r="I591" s="3">
        <v>12730</v>
      </c>
      <c r="J591" s="3">
        <v>10926</v>
      </c>
      <c r="K591" s="3">
        <v>493</v>
      </c>
      <c r="L591" s="3">
        <v>78</v>
      </c>
      <c r="M591" s="3">
        <v>73</v>
      </c>
      <c r="N591" s="3">
        <v>113</v>
      </c>
      <c r="O591" s="3">
        <v>181</v>
      </c>
      <c r="P591" s="3"/>
      <c r="Q591" s="3">
        <v>757</v>
      </c>
      <c r="R591" s="4">
        <v>6.93</v>
      </c>
      <c r="S591" s="6">
        <f>GlowNestSocialTable3[[#This Row],[Link Clicks]]/GlowNestSocialTable3[[#This Row],[Reach]]</f>
        <v>1.6565989383122825E-2</v>
      </c>
    </row>
    <row r="592" spans="1:19">
      <c r="A592" t="s">
        <v>631</v>
      </c>
      <c r="B592" s="2">
        <v>46016</v>
      </c>
      <c r="C592" t="s">
        <v>36</v>
      </c>
      <c r="D592" t="s">
        <v>20</v>
      </c>
      <c r="E592" t="s">
        <v>25</v>
      </c>
      <c r="F592" t="s">
        <v>28</v>
      </c>
      <c r="G592" t="s">
        <v>23</v>
      </c>
      <c r="H592" s="3">
        <v>90566</v>
      </c>
      <c r="I592" s="3">
        <v>44168</v>
      </c>
      <c r="J592" s="3">
        <v>39841</v>
      </c>
      <c r="K592" s="3">
        <v>589</v>
      </c>
      <c r="L592" s="3">
        <v>85</v>
      </c>
      <c r="M592" s="3">
        <v>92</v>
      </c>
      <c r="N592" s="3">
        <v>147</v>
      </c>
      <c r="O592" s="3">
        <v>155</v>
      </c>
      <c r="P592" s="3">
        <v>26388</v>
      </c>
      <c r="Q592" s="3">
        <v>913</v>
      </c>
      <c r="R592" s="4">
        <v>2.29</v>
      </c>
      <c r="S592" s="6">
        <f>GlowNestSocialTable3[[#This Row],[Link Clicks]]/GlowNestSocialTable3[[#This Row],[Reach]]</f>
        <v>3.8904645967721692E-3</v>
      </c>
    </row>
    <row r="593" spans="1:19">
      <c r="A593" t="s">
        <v>632</v>
      </c>
      <c r="B593" s="2">
        <v>46017</v>
      </c>
      <c r="C593" t="s">
        <v>19</v>
      </c>
      <c r="D593" t="s">
        <v>30</v>
      </c>
      <c r="E593" t="s">
        <v>21</v>
      </c>
      <c r="F593" t="s">
        <v>28</v>
      </c>
      <c r="G593" t="s">
        <v>38</v>
      </c>
      <c r="H593" s="3">
        <v>75701</v>
      </c>
      <c r="I593" s="3">
        <v>42033</v>
      </c>
      <c r="J593" s="3">
        <v>27391</v>
      </c>
      <c r="K593" s="3">
        <v>1012</v>
      </c>
      <c r="L593" s="3">
        <v>183</v>
      </c>
      <c r="M593" s="3">
        <v>108</v>
      </c>
      <c r="N593" s="3">
        <v>110</v>
      </c>
      <c r="O593" s="3">
        <v>274</v>
      </c>
      <c r="P593" s="3"/>
      <c r="Q593" s="3">
        <v>1413</v>
      </c>
      <c r="R593" s="4">
        <v>5.16</v>
      </c>
      <c r="S593" s="6">
        <f>GlowNestSocialTable3[[#This Row],[Link Clicks]]/GlowNestSocialTable3[[#This Row],[Reach]]</f>
        <v>1.0003285750794056E-2</v>
      </c>
    </row>
    <row r="594" spans="1:19">
      <c r="A594" t="s">
        <v>633</v>
      </c>
      <c r="B594" s="2">
        <v>46017</v>
      </c>
      <c r="C594" t="s">
        <v>19</v>
      </c>
      <c r="D594" t="s">
        <v>37</v>
      </c>
      <c r="E594" t="s">
        <v>49</v>
      </c>
      <c r="F594" t="s">
        <v>44</v>
      </c>
      <c r="G594" t="s">
        <v>23</v>
      </c>
      <c r="H594" s="3">
        <v>75645</v>
      </c>
      <c r="I594" s="3">
        <v>33475</v>
      </c>
      <c r="J594" s="3">
        <v>23370</v>
      </c>
      <c r="K594" s="3">
        <v>991</v>
      </c>
      <c r="L594" s="3">
        <v>137</v>
      </c>
      <c r="M594" s="3">
        <v>94</v>
      </c>
      <c r="N594" s="3">
        <v>109</v>
      </c>
      <c r="O594" s="3">
        <v>240</v>
      </c>
      <c r="P594" s="3"/>
      <c r="Q594" s="3">
        <v>1331</v>
      </c>
      <c r="R594" s="4">
        <v>5.7</v>
      </c>
      <c r="S594" s="6">
        <f>GlowNestSocialTable3[[#This Row],[Link Clicks]]/GlowNestSocialTable3[[#This Row],[Reach]]</f>
        <v>1.0269576379974325E-2</v>
      </c>
    </row>
    <row r="595" spans="1:19">
      <c r="A595" t="s">
        <v>634</v>
      </c>
      <c r="B595" s="2">
        <v>46018</v>
      </c>
      <c r="C595" t="s">
        <v>36</v>
      </c>
      <c r="D595" t="s">
        <v>30</v>
      </c>
      <c r="E595" t="s">
        <v>25</v>
      </c>
      <c r="F595" t="s">
        <v>22</v>
      </c>
      <c r="G595" t="s">
        <v>38</v>
      </c>
      <c r="H595" s="3">
        <v>92475</v>
      </c>
      <c r="I595" s="3">
        <v>77272</v>
      </c>
      <c r="J595" s="3">
        <v>53800</v>
      </c>
      <c r="K595" s="3">
        <v>474</v>
      </c>
      <c r="L595" s="3">
        <v>49</v>
      </c>
      <c r="M595" s="3">
        <v>42</v>
      </c>
      <c r="N595" s="3">
        <v>59</v>
      </c>
      <c r="O595" s="3">
        <v>194</v>
      </c>
      <c r="P595" s="3"/>
      <c r="Q595" s="3">
        <v>624</v>
      </c>
      <c r="R595" s="4">
        <v>1.1599999999999999</v>
      </c>
      <c r="S595" s="6">
        <f>GlowNestSocialTable3[[#This Row],[Link Clicks]]/GlowNestSocialTable3[[#This Row],[Reach]]</f>
        <v>3.6059479553903345E-3</v>
      </c>
    </row>
    <row r="596" spans="1:19">
      <c r="A596" t="s">
        <v>635</v>
      </c>
      <c r="B596" s="2">
        <v>46018</v>
      </c>
      <c r="C596" t="s">
        <v>19</v>
      </c>
      <c r="D596" t="s">
        <v>30</v>
      </c>
      <c r="E596" t="s">
        <v>27</v>
      </c>
      <c r="F596" t="s">
        <v>44</v>
      </c>
      <c r="G596" t="s">
        <v>23</v>
      </c>
      <c r="H596" s="3">
        <v>77074</v>
      </c>
      <c r="I596" s="3">
        <v>43420</v>
      </c>
      <c r="J596" s="3">
        <v>28159</v>
      </c>
      <c r="K596" s="3">
        <v>1053</v>
      </c>
      <c r="L596" s="3">
        <v>134</v>
      </c>
      <c r="M596" s="3">
        <v>127</v>
      </c>
      <c r="N596" s="3">
        <v>176</v>
      </c>
      <c r="O596" s="3">
        <v>377</v>
      </c>
      <c r="P596" s="3"/>
      <c r="Q596" s="3">
        <v>1490</v>
      </c>
      <c r="R596" s="4">
        <v>5.29</v>
      </c>
      <c r="S596" s="6">
        <f>GlowNestSocialTable3[[#This Row],[Link Clicks]]/GlowNestSocialTable3[[#This Row],[Reach]]</f>
        <v>1.3388259526261586E-2</v>
      </c>
    </row>
    <row r="597" spans="1:19">
      <c r="A597" t="s">
        <v>636</v>
      </c>
      <c r="B597" s="2">
        <v>46019</v>
      </c>
      <c r="C597" t="s">
        <v>33</v>
      </c>
      <c r="D597" t="s">
        <v>20</v>
      </c>
      <c r="E597" t="s">
        <v>27</v>
      </c>
      <c r="F597" t="s">
        <v>44</v>
      </c>
      <c r="G597" t="s">
        <v>23</v>
      </c>
      <c r="H597" s="3">
        <v>36194</v>
      </c>
      <c r="I597" s="3">
        <v>15530</v>
      </c>
      <c r="J597" s="3">
        <v>13313</v>
      </c>
      <c r="K597" s="3">
        <v>720</v>
      </c>
      <c r="L597" s="3">
        <v>114</v>
      </c>
      <c r="M597" s="3">
        <v>117</v>
      </c>
      <c r="N597" s="3">
        <v>178</v>
      </c>
      <c r="O597" s="3">
        <v>223</v>
      </c>
      <c r="P597" s="3">
        <v>11832</v>
      </c>
      <c r="Q597" s="3">
        <v>1129</v>
      </c>
      <c r="R597" s="4">
        <v>8.48</v>
      </c>
      <c r="S597" s="6">
        <f>GlowNestSocialTable3[[#This Row],[Link Clicks]]/GlowNestSocialTable3[[#This Row],[Reach]]</f>
        <v>1.6750544580485239E-2</v>
      </c>
    </row>
    <row r="598" spans="1:19">
      <c r="A598" t="s">
        <v>637</v>
      </c>
      <c r="B598" s="2">
        <v>46020</v>
      </c>
      <c r="C598" t="s">
        <v>33</v>
      </c>
      <c r="D598" t="s">
        <v>37</v>
      </c>
      <c r="E598" t="s">
        <v>25</v>
      </c>
      <c r="F598" t="s">
        <v>44</v>
      </c>
      <c r="G598" t="s">
        <v>23</v>
      </c>
      <c r="H598" s="3">
        <v>34529</v>
      </c>
      <c r="I598" s="3">
        <v>9390</v>
      </c>
      <c r="J598" s="3">
        <v>7703</v>
      </c>
      <c r="K598" s="3">
        <v>147</v>
      </c>
      <c r="L598" s="3">
        <v>22</v>
      </c>
      <c r="M598" s="3">
        <v>15</v>
      </c>
      <c r="N598" s="3">
        <v>16</v>
      </c>
      <c r="O598" s="3">
        <v>64</v>
      </c>
      <c r="P598" s="3"/>
      <c r="Q598" s="3">
        <v>200</v>
      </c>
      <c r="R598" s="4">
        <v>2.6</v>
      </c>
      <c r="S598" s="6">
        <f>GlowNestSocialTable3[[#This Row],[Link Clicks]]/GlowNestSocialTable3[[#This Row],[Reach]]</f>
        <v>8.3084512527586661E-3</v>
      </c>
    </row>
    <row r="599" spans="1:19">
      <c r="A599" t="s">
        <v>638</v>
      </c>
      <c r="B599" s="2">
        <v>46020</v>
      </c>
      <c r="C599" t="s">
        <v>36</v>
      </c>
      <c r="D599" t="s">
        <v>34</v>
      </c>
      <c r="E599" t="s">
        <v>46</v>
      </c>
      <c r="F599" t="s">
        <v>42</v>
      </c>
      <c r="G599" t="s">
        <v>23</v>
      </c>
      <c r="H599" s="3">
        <v>90276</v>
      </c>
      <c r="I599" s="3">
        <v>26934</v>
      </c>
      <c r="J599" s="3">
        <v>23833</v>
      </c>
      <c r="K599" s="3">
        <v>232</v>
      </c>
      <c r="L599" s="3">
        <v>37</v>
      </c>
      <c r="M599" s="3">
        <v>21</v>
      </c>
      <c r="N599" s="3">
        <v>33</v>
      </c>
      <c r="O599" s="3">
        <v>139</v>
      </c>
      <c r="P599" s="3"/>
      <c r="Q599" s="3">
        <v>323</v>
      </c>
      <c r="R599" s="4">
        <v>1.36</v>
      </c>
      <c r="S599" s="6">
        <f>GlowNestSocialTable3[[#This Row],[Link Clicks]]/GlowNestSocialTable3[[#This Row],[Reach]]</f>
        <v>5.8322494020895399E-3</v>
      </c>
    </row>
    <row r="600" spans="1:19">
      <c r="A600" t="s">
        <v>639</v>
      </c>
      <c r="B600" s="2">
        <v>46021</v>
      </c>
      <c r="C600" t="s">
        <v>19</v>
      </c>
      <c r="D600" t="s">
        <v>20</v>
      </c>
      <c r="E600" t="s">
        <v>27</v>
      </c>
      <c r="F600" t="s">
        <v>28</v>
      </c>
      <c r="G600" t="s">
        <v>38</v>
      </c>
      <c r="H600" s="3">
        <v>73276</v>
      </c>
      <c r="I600" s="3">
        <v>75476</v>
      </c>
      <c r="J600" s="3">
        <v>52727</v>
      </c>
      <c r="K600" s="3">
        <v>2611</v>
      </c>
      <c r="L600" s="3">
        <v>398</v>
      </c>
      <c r="M600" s="3">
        <v>267</v>
      </c>
      <c r="N600" s="3">
        <v>1567</v>
      </c>
      <c r="O600" s="3">
        <v>528</v>
      </c>
      <c r="P600" s="3">
        <v>37304</v>
      </c>
      <c r="Q600" s="3">
        <v>4843</v>
      </c>
      <c r="R600" s="4">
        <v>9.19</v>
      </c>
      <c r="S600" s="6">
        <f>GlowNestSocialTable3[[#This Row],[Link Clicks]]/GlowNestSocialTable3[[#This Row],[Reach]]</f>
        <v>1.0013844899197754E-2</v>
      </c>
    </row>
    <row r="601" spans="1:19">
      <c r="A601" t="s">
        <v>640</v>
      </c>
      <c r="B601" s="2">
        <v>46022</v>
      </c>
      <c r="C601" t="s">
        <v>19</v>
      </c>
      <c r="D601" t="s">
        <v>37</v>
      </c>
      <c r="E601" t="s">
        <v>46</v>
      </c>
      <c r="F601" t="s">
        <v>42</v>
      </c>
      <c r="G601" t="s">
        <v>23</v>
      </c>
      <c r="H601" s="3">
        <v>75645</v>
      </c>
      <c r="I601" s="3">
        <v>43025</v>
      </c>
      <c r="J601" s="3">
        <v>27778</v>
      </c>
      <c r="K601" s="3">
        <v>928</v>
      </c>
      <c r="L601" s="3">
        <v>140</v>
      </c>
      <c r="M601" s="3">
        <v>155</v>
      </c>
      <c r="N601" s="3">
        <v>248</v>
      </c>
      <c r="O601" s="3">
        <v>256</v>
      </c>
      <c r="P601" s="3"/>
      <c r="Q601" s="3">
        <v>1471</v>
      </c>
      <c r="R601" s="4">
        <v>5.3</v>
      </c>
      <c r="S601" s="6">
        <f>GlowNestSocialTable3[[#This Row],[Link Clicks]]/GlowNestSocialTable3[[#This Row],[Reach]]</f>
        <v>9.2159262725898198E-3</v>
      </c>
    </row>
  </sheetData>
  <conditionalFormatting sqref="A1:A1048576">
    <cfRule type="duplicateValues" dxfId="1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1"/>
  <sheetViews>
    <sheetView workbookViewId="0"/>
  </sheetViews>
  <sheetFormatPr defaultRowHeight="13.8"/>
  <cols>
    <col min="1" max="1" width="14" customWidth="1"/>
    <col min="2" max="2" width="13" customWidth="1"/>
    <col min="3" max="3" width="14" customWidth="1"/>
    <col min="4" max="4" width="18" customWidth="1"/>
    <col min="5" max="5" width="22" customWidth="1"/>
    <col min="6" max="6" width="19" customWidth="1"/>
    <col min="7" max="7" width="16" customWidth="1"/>
    <col min="8" max="8" width="18" customWidth="1"/>
    <col min="9" max="10" width="14" customWidth="1"/>
    <col min="11" max="14" width="11" customWidth="1"/>
    <col min="15" max="17" width="13" customWidth="1"/>
    <col min="18" max="18" width="18" customWidth="1"/>
    <col min="19" max="19" width="14" bestFit="1" customWidth="1"/>
  </cols>
  <sheetData>
    <row r="1" spans="1:19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652</v>
      </c>
    </row>
    <row r="2" spans="1:19">
      <c r="A2" t="s">
        <v>211</v>
      </c>
      <c r="B2" s="2">
        <v>45762</v>
      </c>
      <c r="C2" t="s">
        <v>33</v>
      </c>
      <c r="D2" t="s">
        <v>34</v>
      </c>
      <c r="E2" t="s">
        <v>21</v>
      </c>
      <c r="F2" t="s">
        <v>42</v>
      </c>
      <c r="G2" t="s">
        <v>23</v>
      </c>
      <c r="H2" s="3">
        <v>35004</v>
      </c>
      <c r="I2" s="3">
        <v>6206</v>
      </c>
      <c r="J2" s="3">
        <v>5567</v>
      </c>
      <c r="K2" s="3">
        <v>165</v>
      </c>
      <c r="L2" s="3">
        <v>26</v>
      </c>
      <c r="M2" s="3">
        <v>24</v>
      </c>
      <c r="N2" s="3">
        <v>5</v>
      </c>
      <c r="O2" s="3">
        <v>94</v>
      </c>
      <c r="P2" s="3"/>
      <c r="Q2" s="3">
        <v>220</v>
      </c>
      <c r="R2" s="4">
        <v>3.95</v>
      </c>
      <c r="S2" s="6">
        <f>GlowNestSocialTable[[#This Row],[Link Clicks]]/GlowNestSocialTable[[#This Row],[Reach]]</f>
        <v>1.6885216454104544E-2</v>
      </c>
    </row>
    <row r="3" spans="1:19">
      <c r="A3" t="s">
        <v>211</v>
      </c>
      <c r="B3" s="2">
        <v>45763</v>
      </c>
      <c r="C3" t="s">
        <v>36</v>
      </c>
      <c r="D3" t="s">
        <v>34</v>
      </c>
      <c r="E3" t="s">
        <v>25</v>
      </c>
      <c r="F3" t="s">
        <v>31</v>
      </c>
      <c r="G3" t="s">
        <v>23</v>
      </c>
      <c r="H3" s="3">
        <v>83758</v>
      </c>
      <c r="I3" s="3">
        <v>42863</v>
      </c>
      <c r="J3" s="3">
        <v>35360</v>
      </c>
      <c r="K3" s="3">
        <v>330</v>
      </c>
      <c r="L3" s="3">
        <v>43</v>
      </c>
      <c r="M3" s="3">
        <v>44</v>
      </c>
      <c r="N3" s="3">
        <v>35</v>
      </c>
      <c r="O3" s="3">
        <v>124</v>
      </c>
      <c r="P3" s="3"/>
      <c r="Q3" s="3">
        <v>452</v>
      </c>
      <c r="R3" s="4">
        <v>1.28</v>
      </c>
      <c r="S3" s="6">
        <f>GlowNestSocialTable[[#This Row],[Link Clicks]]/GlowNestSocialTable[[#This Row],[Reach]]</f>
        <v>3.5067873303167422E-3</v>
      </c>
    </row>
    <row r="4" spans="1:19">
      <c r="A4" t="s">
        <v>460</v>
      </c>
      <c r="B4" s="2">
        <v>45913</v>
      </c>
      <c r="C4" t="s">
        <v>193</v>
      </c>
      <c r="D4" t="s">
        <v>37</v>
      </c>
      <c r="E4" t="s">
        <v>49</v>
      </c>
      <c r="F4" t="s">
        <v>42</v>
      </c>
      <c r="G4" t="s">
        <v>23</v>
      </c>
      <c r="H4" s="3">
        <v>74611</v>
      </c>
      <c r="I4" s="3">
        <v>30400</v>
      </c>
      <c r="J4" s="3">
        <v>22387</v>
      </c>
      <c r="K4" s="3">
        <v>776</v>
      </c>
      <c r="L4" s="3">
        <v>124</v>
      </c>
      <c r="M4" s="3">
        <v>134</v>
      </c>
      <c r="N4" s="3">
        <v>114</v>
      </c>
      <c r="O4" s="3">
        <v>164</v>
      </c>
      <c r="P4" s="3"/>
      <c r="Q4" s="3">
        <v>1148</v>
      </c>
      <c r="R4" s="4">
        <v>5.13</v>
      </c>
      <c r="S4" s="6">
        <f>GlowNestSocialTable[[#This Row],[Link Clicks]]/GlowNestSocialTable[[#This Row],[Reach]]</f>
        <v>7.3256800821905567E-3</v>
      </c>
    </row>
    <row r="5" spans="1:19">
      <c r="A5" t="s">
        <v>460</v>
      </c>
      <c r="B5" s="2">
        <v>45913</v>
      </c>
      <c r="C5" t="s">
        <v>19</v>
      </c>
      <c r="D5" t="s">
        <v>30</v>
      </c>
      <c r="E5" t="s">
        <v>46</v>
      </c>
      <c r="F5" t="s">
        <v>44</v>
      </c>
      <c r="G5" t="s">
        <v>23</v>
      </c>
      <c r="H5" s="3">
        <v>71620</v>
      </c>
      <c r="I5" s="3">
        <v>22429</v>
      </c>
      <c r="J5" s="3">
        <v>18918</v>
      </c>
      <c r="K5" s="3">
        <v>619</v>
      </c>
      <c r="L5" s="3">
        <v>93</v>
      </c>
      <c r="M5" s="3">
        <v>96</v>
      </c>
      <c r="N5" s="3">
        <v>56</v>
      </c>
      <c r="O5" s="3">
        <v>195</v>
      </c>
      <c r="P5" s="3"/>
      <c r="Q5" s="3">
        <v>864</v>
      </c>
      <c r="R5" s="4">
        <v>4.57</v>
      </c>
      <c r="S5" s="6">
        <f>GlowNestSocialTable[[#This Row],[Link Clicks]]/GlowNestSocialTable[[#This Row],[Reach]]</f>
        <v>1.0307643514113543E-2</v>
      </c>
    </row>
    <row r="6" spans="1:19">
      <c r="A6" t="s">
        <v>18</v>
      </c>
      <c r="B6" s="2">
        <v>45658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s="3">
        <v>69314</v>
      </c>
      <c r="I6" s="3">
        <v>28217</v>
      </c>
      <c r="J6" s="3">
        <v>25676</v>
      </c>
      <c r="K6" s="3">
        <v>1198</v>
      </c>
      <c r="L6" s="3">
        <v>175</v>
      </c>
      <c r="M6" s="3">
        <v>117</v>
      </c>
      <c r="N6" s="3">
        <v>259</v>
      </c>
      <c r="O6" s="3">
        <v>291</v>
      </c>
      <c r="P6" s="3">
        <v>14530</v>
      </c>
      <c r="Q6" s="3">
        <v>1749</v>
      </c>
      <c r="R6" s="4">
        <v>6.81</v>
      </c>
      <c r="S6" s="6">
        <f>GlowNestSocialTable[[#This Row],[Link Clicks]]/GlowNestSocialTable[[#This Row],[Reach]]</f>
        <v>1.1333541050007789E-2</v>
      </c>
    </row>
    <row r="7" spans="1:19">
      <c r="A7" t="s">
        <v>24</v>
      </c>
      <c r="B7" s="2">
        <v>45658</v>
      </c>
      <c r="C7" t="s">
        <v>19</v>
      </c>
      <c r="D7" t="s">
        <v>20</v>
      </c>
      <c r="E7" t="s">
        <v>25</v>
      </c>
      <c r="F7" t="s">
        <v>22</v>
      </c>
      <c r="G7" t="s">
        <v>23</v>
      </c>
      <c r="H7" s="3">
        <v>65292</v>
      </c>
      <c r="I7" s="3">
        <v>42714</v>
      </c>
      <c r="J7" s="3">
        <v>30072</v>
      </c>
      <c r="K7" s="3">
        <v>838</v>
      </c>
      <c r="L7" s="3">
        <v>106</v>
      </c>
      <c r="M7" s="3">
        <v>103</v>
      </c>
      <c r="N7" s="3">
        <v>126</v>
      </c>
      <c r="O7" s="3">
        <v>273</v>
      </c>
      <c r="P7" s="3">
        <v>23201</v>
      </c>
      <c r="Q7" s="3">
        <v>1173</v>
      </c>
      <c r="R7" s="4">
        <v>3.9</v>
      </c>
      <c r="S7" s="6">
        <f>GlowNestSocialTable[[#This Row],[Link Clicks]]/GlowNestSocialTable[[#This Row],[Reach]]</f>
        <v>9.0782122905027941E-3</v>
      </c>
    </row>
    <row r="8" spans="1:19">
      <c r="A8" t="s">
        <v>26</v>
      </c>
      <c r="B8" s="2">
        <v>45659</v>
      </c>
      <c r="C8" t="s">
        <v>19</v>
      </c>
      <c r="D8" t="s">
        <v>20</v>
      </c>
      <c r="E8" t="s">
        <v>27</v>
      </c>
      <c r="F8" t="s">
        <v>28</v>
      </c>
      <c r="G8" t="s">
        <v>23</v>
      </c>
      <c r="H8" s="3">
        <v>69676</v>
      </c>
      <c r="I8" s="3">
        <v>35327</v>
      </c>
      <c r="J8" s="3">
        <v>25104</v>
      </c>
      <c r="K8" s="3">
        <v>1549</v>
      </c>
      <c r="L8" s="3">
        <v>207</v>
      </c>
      <c r="M8" s="3">
        <v>170</v>
      </c>
      <c r="N8" s="3">
        <v>289</v>
      </c>
      <c r="O8" s="3">
        <v>351</v>
      </c>
      <c r="P8" s="3">
        <v>17044</v>
      </c>
      <c r="Q8" s="3">
        <v>2215</v>
      </c>
      <c r="R8" s="4">
        <v>8.82</v>
      </c>
      <c r="S8" s="6">
        <f>GlowNestSocialTable[[#This Row],[Link Clicks]]/GlowNestSocialTable[[#This Row],[Reach]]</f>
        <v>1.3981835564053538E-2</v>
      </c>
    </row>
    <row r="9" spans="1:19">
      <c r="A9" t="s">
        <v>29</v>
      </c>
      <c r="B9" s="2">
        <v>45659</v>
      </c>
      <c r="C9" t="s">
        <v>19</v>
      </c>
      <c r="D9" t="s">
        <v>30</v>
      </c>
      <c r="E9" t="s">
        <v>25</v>
      </c>
      <c r="F9" t="s">
        <v>31</v>
      </c>
      <c r="G9" t="s">
        <v>23</v>
      </c>
      <c r="H9" s="3">
        <v>66658</v>
      </c>
      <c r="I9" s="3">
        <v>24318</v>
      </c>
      <c r="J9" s="3">
        <v>18331</v>
      </c>
      <c r="K9" s="3">
        <v>324</v>
      </c>
      <c r="L9" s="3">
        <v>38</v>
      </c>
      <c r="M9" s="3">
        <v>38</v>
      </c>
      <c r="N9" s="3">
        <v>41</v>
      </c>
      <c r="O9" s="3">
        <v>132</v>
      </c>
      <c r="P9" s="3"/>
      <c r="Q9" s="3">
        <v>441</v>
      </c>
      <c r="R9" s="4">
        <v>2.41</v>
      </c>
      <c r="S9" s="6">
        <f>GlowNestSocialTable[[#This Row],[Link Clicks]]/GlowNestSocialTable[[#This Row],[Reach]]</f>
        <v>7.2009164802793084E-3</v>
      </c>
    </row>
    <row r="10" spans="1:19">
      <c r="A10" t="s">
        <v>32</v>
      </c>
      <c r="B10" s="2">
        <v>45660</v>
      </c>
      <c r="C10" t="s">
        <v>33</v>
      </c>
      <c r="D10" t="s">
        <v>34</v>
      </c>
      <c r="E10" t="s">
        <v>27</v>
      </c>
      <c r="F10" t="s">
        <v>31</v>
      </c>
      <c r="G10" t="s">
        <v>23</v>
      </c>
      <c r="H10" s="3">
        <v>31779</v>
      </c>
      <c r="I10" s="3">
        <v>12567</v>
      </c>
      <c r="J10" s="3">
        <v>8600</v>
      </c>
      <c r="K10" s="3">
        <v>260</v>
      </c>
      <c r="L10" s="3">
        <v>37</v>
      </c>
      <c r="M10" s="3">
        <v>42</v>
      </c>
      <c r="N10" s="3">
        <v>57</v>
      </c>
      <c r="O10" s="3">
        <v>130</v>
      </c>
      <c r="P10" s="3"/>
      <c r="Q10" s="3">
        <v>396</v>
      </c>
      <c r="R10" s="4">
        <v>4.5999999999999996</v>
      </c>
      <c r="S10" s="6">
        <f>GlowNestSocialTable[[#This Row],[Link Clicks]]/GlowNestSocialTable[[#This Row],[Reach]]</f>
        <v>1.5116279069767442E-2</v>
      </c>
    </row>
    <row r="11" spans="1:19">
      <c r="A11" t="s">
        <v>35</v>
      </c>
      <c r="B11" s="2">
        <v>45661</v>
      </c>
      <c r="C11" t="s">
        <v>36</v>
      </c>
      <c r="D11" t="s">
        <v>37</v>
      </c>
      <c r="E11" t="s">
        <v>25</v>
      </c>
      <c r="F11" t="s">
        <v>28</v>
      </c>
      <c r="G11" t="s">
        <v>38</v>
      </c>
      <c r="H11" s="3">
        <v>79412</v>
      </c>
      <c r="I11" s="3">
        <v>98802</v>
      </c>
      <c r="J11" s="3">
        <v>65312</v>
      </c>
      <c r="K11" s="3">
        <v>660</v>
      </c>
      <c r="L11" s="3">
        <v>74</v>
      </c>
      <c r="M11" s="3">
        <v>96</v>
      </c>
      <c r="N11" s="3">
        <v>49</v>
      </c>
      <c r="O11" s="3">
        <v>274</v>
      </c>
      <c r="P11" s="3"/>
      <c r="Q11" s="3">
        <v>879</v>
      </c>
      <c r="R11" s="4">
        <v>1.35</v>
      </c>
      <c r="S11" s="6">
        <f>GlowNestSocialTable[[#This Row],[Link Clicks]]/GlowNestSocialTable[[#This Row],[Reach]]</f>
        <v>4.1952474277315039E-3</v>
      </c>
    </row>
    <row r="12" spans="1:19">
      <c r="A12" t="s">
        <v>39</v>
      </c>
      <c r="B12" s="2">
        <v>45661</v>
      </c>
      <c r="C12" t="s">
        <v>19</v>
      </c>
      <c r="D12" t="s">
        <v>37</v>
      </c>
      <c r="E12" t="s">
        <v>25</v>
      </c>
      <c r="F12" t="s">
        <v>22</v>
      </c>
      <c r="G12" t="s">
        <v>38</v>
      </c>
      <c r="H12" s="3">
        <v>67886</v>
      </c>
      <c r="I12" s="3">
        <v>54745</v>
      </c>
      <c r="J12" s="3">
        <v>36198</v>
      </c>
      <c r="K12" s="3">
        <v>863</v>
      </c>
      <c r="L12" s="3">
        <v>102</v>
      </c>
      <c r="M12" s="3">
        <v>139</v>
      </c>
      <c r="N12" s="3">
        <v>162</v>
      </c>
      <c r="O12" s="3">
        <v>254</v>
      </c>
      <c r="P12" s="3"/>
      <c r="Q12" s="3">
        <v>1266</v>
      </c>
      <c r="R12" s="4">
        <v>3.5</v>
      </c>
      <c r="S12" s="6">
        <f>GlowNestSocialTable[[#This Row],[Link Clicks]]/GlowNestSocialTable[[#This Row],[Reach]]</f>
        <v>7.0169622631084594E-3</v>
      </c>
    </row>
    <row r="13" spans="1:19">
      <c r="A13" t="s">
        <v>40</v>
      </c>
      <c r="B13" s="2">
        <v>45662</v>
      </c>
      <c r="C13" t="s">
        <v>36</v>
      </c>
      <c r="D13" t="s">
        <v>34</v>
      </c>
      <c r="E13" t="s">
        <v>25</v>
      </c>
      <c r="F13" t="s">
        <v>28</v>
      </c>
      <c r="G13" t="s">
        <v>38</v>
      </c>
      <c r="H13" s="3">
        <v>82175</v>
      </c>
      <c r="I13" s="3">
        <v>64896</v>
      </c>
      <c r="J13" s="3">
        <v>42350</v>
      </c>
      <c r="K13" s="3">
        <v>323</v>
      </c>
      <c r="L13" s="3">
        <v>46</v>
      </c>
      <c r="M13" s="3">
        <v>45</v>
      </c>
      <c r="N13" s="3">
        <v>16</v>
      </c>
      <c r="O13" s="3">
        <v>212</v>
      </c>
      <c r="P13" s="3"/>
      <c r="Q13" s="3">
        <v>430</v>
      </c>
      <c r="R13" s="4">
        <v>1.02</v>
      </c>
      <c r="S13" s="6">
        <f>GlowNestSocialTable[[#This Row],[Link Clicks]]/GlowNestSocialTable[[#This Row],[Reach]]</f>
        <v>5.0059031877213696E-3</v>
      </c>
    </row>
    <row r="14" spans="1:19">
      <c r="A14" t="s">
        <v>41</v>
      </c>
      <c r="B14" s="2">
        <v>45662</v>
      </c>
      <c r="C14" t="s">
        <v>36</v>
      </c>
      <c r="D14" t="s">
        <v>37</v>
      </c>
      <c r="E14" t="s">
        <v>25</v>
      </c>
      <c r="F14" t="s">
        <v>42</v>
      </c>
      <c r="G14" t="s">
        <v>38</v>
      </c>
      <c r="H14" s="3">
        <v>82216</v>
      </c>
      <c r="I14" s="3">
        <v>90030</v>
      </c>
      <c r="J14" s="3">
        <v>59219</v>
      </c>
      <c r="K14" s="3">
        <v>596</v>
      </c>
      <c r="L14" s="3">
        <v>66</v>
      </c>
      <c r="M14" s="3">
        <v>67</v>
      </c>
      <c r="N14" s="3">
        <v>44</v>
      </c>
      <c r="O14" s="3">
        <v>294</v>
      </c>
      <c r="P14" s="3"/>
      <c r="Q14" s="3">
        <v>773</v>
      </c>
      <c r="R14" s="4">
        <v>1.31</v>
      </c>
      <c r="S14" s="6">
        <f>GlowNestSocialTable[[#This Row],[Link Clicks]]/GlowNestSocialTable[[#This Row],[Reach]]</f>
        <v>4.9646228406423614E-3</v>
      </c>
    </row>
    <row r="15" spans="1:19">
      <c r="A15" t="s">
        <v>43</v>
      </c>
      <c r="B15" s="2">
        <v>45663</v>
      </c>
      <c r="C15" t="s">
        <v>19</v>
      </c>
      <c r="D15" t="s">
        <v>37</v>
      </c>
      <c r="E15" t="s">
        <v>27</v>
      </c>
      <c r="F15" t="s">
        <v>44</v>
      </c>
      <c r="G15" t="s">
        <v>23</v>
      </c>
      <c r="H15" s="3">
        <v>67976</v>
      </c>
      <c r="I15" s="3">
        <v>29418</v>
      </c>
      <c r="J15" s="3">
        <v>23688</v>
      </c>
      <c r="K15" s="3">
        <v>1129</v>
      </c>
      <c r="L15" s="3">
        <v>180</v>
      </c>
      <c r="M15" s="3">
        <v>168</v>
      </c>
      <c r="N15" s="3">
        <v>202</v>
      </c>
      <c r="O15" s="3">
        <v>332</v>
      </c>
      <c r="P15" s="3"/>
      <c r="Q15" s="3">
        <v>1679</v>
      </c>
      <c r="R15" s="4">
        <v>7.09</v>
      </c>
      <c r="S15" s="6">
        <f>GlowNestSocialTable[[#This Row],[Link Clicks]]/GlowNestSocialTable[[#This Row],[Reach]]</f>
        <v>1.4015535292131037E-2</v>
      </c>
    </row>
    <row r="16" spans="1:19">
      <c r="A16" t="s">
        <v>45</v>
      </c>
      <c r="B16" s="2">
        <v>45664</v>
      </c>
      <c r="C16" t="s">
        <v>33</v>
      </c>
      <c r="D16" t="s">
        <v>20</v>
      </c>
      <c r="E16" t="s">
        <v>46</v>
      </c>
      <c r="F16" t="s">
        <v>28</v>
      </c>
      <c r="G16" t="s">
        <v>23</v>
      </c>
      <c r="H16" s="3">
        <v>32149</v>
      </c>
      <c r="I16" s="3">
        <v>10636</v>
      </c>
      <c r="J16" s="3">
        <v>7326</v>
      </c>
      <c r="K16" s="3">
        <v>226</v>
      </c>
      <c r="L16" s="3">
        <v>26</v>
      </c>
      <c r="M16" s="3">
        <v>29</v>
      </c>
      <c r="N16" s="3">
        <v>28</v>
      </c>
      <c r="O16" s="3">
        <v>122</v>
      </c>
      <c r="P16" s="3">
        <v>4334</v>
      </c>
      <c r="Q16" s="3">
        <v>309</v>
      </c>
      <c r="R16" s="4">
        <v>4.22</v>
      </c>
      <c r="S16" s="6">
        <f>GlowNestSocialTable[[#This Row],[Link Clicks]]/GlowNestSocialTable[[#This Row],[Reach]]</f>
        <v>1.6653016653016654E-2</v>
      </c>
    </row>
    <row r="17" spans="1:19">
      <c r="A17" t="s">
        <v>47</v>
      </c>
      <c r="B17" s="2">
        <v>45664</v>
      </c>
      <c r="C17" t="s">
        <v>33</v>
      </c>
      <c r="D17" t="s">
        <v>30</v>
      </c>
      <c r="E17" t="s">
        <v>46</v>
      </c>
      <c r="F17" t="s">
        <v>31</v>
      </c>
      <c r="G17" t="s">
        <v>23</v>
      </c>
      <c r="H17" s="3">
        <v>33214</v>
      </c>
      <c r="I17" s="3">
        <v>6632</v>
      </c>
      <c r="J17" s="3">
        <v>5797</v>
      </c>
      <c r="K17" s="3">
        <v>144</v>
      </c>
      <c r="L17" s="3">
        <v>19</v>
      </c>
      <c r="M17" s="3">
        <v>16</v>
      </c>
      <c r="N17" s="3">
        <v>17</v>
      </c>
      <c r="O17" s="3">
        <v>91</v>
      </c>
      <c r="P17" s="3"/>
      <c r="Q17" s="3">
        <v>196</v>
      </c>
      <c r="R17" s="4">
        <v>3.38</v>
      </c>
      <c r="S17" s="6">
        <f>GlowNestSocialTable[[#This Row],[Link Clicks]]/GlowNestSocialTable[[#This Row],[Reach]]</f>
        <v>1.5697774711057443E-2</v>
      </c>
    </row>
    <row r="18" spans="1:19">
      <c r="A18" t="s">
        <v>48</v>
      </c>
      <c r="B18" s="2">
        <v>45665</v>
      </c>
      <c r="C18" t="s">
        <v>19</v>
      </c>
      <c r="D18" t="s">
        <v>30</v>
      </c>
      <c r="E18" t="s">
        <v>49</v>
      </c>
      <c r="F18" t="s">
        <v>31</v>
      </c>
      <c r="G18" t="s">
        <v>38</v>
      </c>
      <c r="H18" s="3">
        <v>68168</v>
      </c>
      <c r="I18" s="3">
        <v>36680</v>
      </c>
      <c r="J18" s="3">
        <v>33445</v>
      </c>
      <c r="K18" s="3">
        <v>1069</v>
      </c>
      <c r="L18" s="3">
        <v>151</v>
      </c>
      <c r="M18" s="3">
        <v>141</v>
      </c>
      <c r="N18" s="3">
        <v>146</v>
      </c>
      <c r="O18" s="3">
        <v>291</v>
      </c>
      <c r="P18" s="3"/>
      <c r="Q18" s="3">
        <v>1507</v>
      </c>
      <c r="R18" s="4">
        <v>4.51</v>
      </c>
      <c r="S18" s="6">
        <f>GlowNestSocialTable[[#This Row],[Link Clicks]]/GlowNestSocialTable[[#This Row],[Reach]]</f>
        <v>8.7008521453132009E-3</v>
      </c>
    </row>
    <row r="19" spans="1:19">
      <c r="A19" t="s">
        <v>50</v>
      </c>
      <c r="B19" s="2">
        <v>45665</v>
      </c>
      <c r="C19" t="s">
        <v>33</v>
      </c>
      <c r="D19" t="s">
        <v>34</v>
      </c>
      <c r="E19" t="s">
        <v>46</v>
      </c>
      <c r="F19" t="s">
        <v>42</v>
      </c>
      <c r="G19" t="s">
        <v>23</v>
      </c>
      <c r="H19" s="3">
        <v>30815</v>
      </c>
      <c r="I19" s="3">
        <v>4656</v>
      </c>
      <c r="J19" s="3">
        <v>4231</v>
      </c>
      <c r="K19" s="3">
        <v>66</v>
      </c>
      <c r="L19" s="3">
        <v>13</v>
      </c>
      <c r="M19" s="3">
        <v>11</v>
      </c>
      <c r="N19" s="3">
        <v>8</v>
      </c>
      <c r="O19" s="3">
        <v>52</v>
      </c>
      <c r="P19" s="3"/>
      <c r="Q19" s="3">
        <v>98</v>
      </c>
      <c r="R19" s="4">
        <v>2.3199999999999998</v>
      </c>
      <c r="S19" s="6">
        <f>GlowNestSocialTable[[#This Row],[Link Clicks]]/GlowNestSocialTable[[#This Row],[Reach]]</f>
        <v>1.2290238714251949E-2</v>
      </c>
    </row>
    <row r="20" spans="1:19">
      <c r="A20" t="s">
        <v>51</v>
      </c>
      <c r="B20" s="2">
        <v>45666</v>
      </c>
      <c r="C20" t="s">
        <v>36</v>
      </c>
      <c r="D20" t="s">
        <v>37</v>
      </c>
      <c r="E20" t="s">
        <v>25</v>
      </c>
      <c r="F20" t="s">
        <v>31</v>
      </c>
      <c r="G20" t="s">
        <v>23</v>
      </c>
      <c r="H20" s="3">
        <v>81551</v>
      </c>
      <c r="I20" s="3">
        <v>57188</v>
      </c>
      <c r="J20" s="3">
        <v>46115</v>
      </c>
      <c r="K20" s="3">
        <v>628</v>
      </c>
      <c r="L20" s="3">
        <v>63</v>
      </c>
      <c r="M20" s="3">
        <v>56</v>
      </c>
      <c r="N20" s="3">
        <v>89</v>
      </c>
      <c r="O20" s="3">
        <v>155</v>
      </c>
      <c r="P20" s="3"/>
      <c r="Q20" s="3">
        <v>836</v>
      </c>
      <c r="R20" s="4">
        <v>1.81</v>
      </c>
      <c r="S20" s="6">
        <f>GlowNestSocialTable[[#This Row],[Link Clicks]]/GlowNestSocialTable[[#This Row],[Reach]]</f>
        <v>3.3611623116122737E-3</v>
      </c>
    </row>
    <row r="21" spans="1:19">
      <c r="A21" t="s">
        <v>52</v>
      </c>
      <c r="B21" s="2">
        <v>45667</v>
      </c>
      <c r="C21" t="s">
        <v>19</v>
      </c>
      <c r="D21" t="s">
        <v>30</v>
      </c>
      <c r="E21" t="s">
        <v>21</v>
      </c>
      <c r="F21" t="s">
        <v>44</v>
      </c>
      <c r="G21" t="s">
        <v>38</v>
      </c>
      <c r="H21" s="3">
        <v>67498</v>
      </c>
      <c r="I21" s="3">
        <v>41849</v>
      </c>
      <c r="J21" s="3">
        <v>33408</v>
      </c>
      <c r="K21" s="3">
        <v>899</v>
      </c>
      <c r="L21" s="3">
        <v>136</v>
      </c>
      <c r="M21" s="3">
        <v>117</v>
      </c>
      <c r="N21" s="3">
        <v>113</v>
      </c>
      <c r="O21" s="3">
        <v>279</v>
      </c>
      <c r="P21" s="3"/>
      <c r="Q21" s="3">
        <v>1265</v>
      </c>
      <c r="R21" s="4">
        <v>3.79</v>
      </c>
      <c r="S21" s="6">
        <f>GlowNestSocialTable[[#This Row],[Link Clicks]]/GlowNestSocialTable[[#This Row],[Reach]]</f>
        <v>8.3512931034482752E-3</v>
      </c>
    </row>
    <row r="22" spans="1:19">
      <c r="A22" t="s">
        <v>53</v>
      </c>
      <c r="B22" s="2">
        <v>45667</v>
      </c>
      <c r="C22" t="s">
        <v>33</v>
      </c>
      <c r="D22" t="s">
        <v>34</v>
      </c>
      <c r="E22" t="s">
        <v>49</v>
      </c>
      <c r="F22" t="s">
        <v>22</v>
      </c>
      <c r="G22" t="s">
        <v>23</v>
      </c>
      <c r="H22" s="3">
        <v>29538</v>
      </c>
      <c r="I22" s="3">
        <v>6549</v>
      </c>
      <c r="J22" s="3">
        <v>4496</v>
      </c>
      <c r="K22" s="3">
        <v>100</v>
      </c>
      <c r="L22" s="3">
        <v>16</v>
      </c>
      <c r="M22" s="3">
        <v>15</v>
      </c>
      <c r="N22" s="3">
        <v>2</v>
      </c>
      <c r="O22" s="3">
        <v>66</v>
      </c>
      <c r="P22" s="3"/>
      <c r="Q22" s="3">
        <v>133</v>
      </c>
      <c r="R22" s="4">
        <v>2.96</v>
      </c>
      <c r="S22" s="6">
        <f>GlowNestSocialTable[[#This Row],[Link Clicks]]/GlowNestSocialTable[[#This Row],[Reach]]</f>
        <v>1.4679715302491103E-2</v>
      </c>
    </row>
    <row r="23" spans="1:19">
      <c r="A23" t="s">
        <v>54</v>
      </c>
      <c r="B23" s="2">
        <v>45668</v>
      </c>
      <c r="C23" t="s">
        <v>19</v>
      </c>
      <c r="D23" t="s">
        <v>20</v>
      </c>
      <c r="E23" t="s">
        <v>25</v>
      </c>
      <c r="F23" t="s">
        <v>28</v>
      </c>
      <c r="G23" t="s">
        <v>23</v>
      </c>
      <c r="H23" s="3">
        <v>68264</v>
      </c>
      <c r="I23" s="3">
        <v>39405</v>
      </c>
      <c r="J23" s="3">
        <v>30150</v>
      </c>
      <c r="K23" s="3">
        <v>1004</v>
      </c>
      <c r="L23" s="3">
        <v>176</v>
      </c>
      <c r="M23" s="3">
        <v>168</v>
      </c>
      <c r="N23" s="3">
        <v>63</v>
      </c>
      <c r="O23" s="3">
        <v>298</v>
      </c>
      <c r="P23" s="3">
        <v>20292</v>
      </c>
      <c r="Q23" s="3">
        <v>1411</v>
      </c>
      <c r="R23" s="4">
        <v>4.68</v>
      </c>
      <c r="S23" s="6">
        <f>GlowNestSocialTable[[#This Row],[Link Clicks]]/GlowNestSocialTable[[#This Row],[Reach]]</f>
        <v>9.8839137645107787E-3</v>
      </c>
    </row>
    <row r="24" spans="1:19">
      <c r="A24" t="s">
        <v>55</v>
      </c>
      <c r="B24" s="2">
        <v>45668</v>
      </c>
      <c r="C24" t="s">
        <v>19</v>
      </c>
      <c r="D24" t="s">
        <v>20</v>
      </c>
      <c r="E24" t="s">
        <v>27</v>
      </c>
      <c r="F24" t="s">
        <v>31</v>
      </c>
      <c r="G24" t="s">
        <v>38</v>
      </c>
      <c r="H24" s="3">
        <v>69217</v>
      </c>
      <c r="I24" s="3">
        <v>61861</v>
      </c>
      <c r="J24" s="3">
        <v>42385</v>
      </c>
      <c r="K24" s="3">
        <v>2290</v>
      </c>
      <c r="L24" s="3">
        <v>349</v>
      </c>
      <c r="M24" s="3">
        <v>353</v>
      </c>
      <c r="N24" s="3">
        <v>460</v>
      </c>
      <c r="O24" s="3">
        <v>691</v>
      </c>
      <c r="P24" s="3">
        <v>30450</v>
      </c>
      <c r="Q24" s="3">
        <v>3452</v>
      </c>
      <c r="R24" s="4">
        <v>8.14</v>
      </c>
      <c r="S24" s="6">
        <f>GlowNestSocialTable[[#This Row],[Link Clicks]]/GlowNestSocialTable[[#This Row],[Reach]]</f>
        <v>1.6302937359915063E-2</v>
      </c>
    </row>
    <row r="25" spans="1:19">
      <c r="A25" t="s">
        <v>56</v>
      </c>
      <c r="B25" s="2">
        <v>45669</v>
      </c>
      <c r="C25" t="s">
        <v>33</v>
      </c>
      <c r="D25" t="s">
        <v>34</v>
      </c>
      <c r="E25" t="s">
        <v>27</v>
      </c>
      <c r="F25" t="s">
        <v>44</v>
      </c>
      <c r="G25" t="s">
        <v>23</v>
      </c>
      <c r="H25" s="3">
        <v>32540</v>
      </c>
      <c r="I25" s="3">
        <v>9299</v>
      </c>
      <c r="J25" s="3">
        <v>7806</v>
      </c>
      <c r="K25" s="3">
        <v>252</v>
      </c>
      <c r="L25" s="3">
        <v>33</v>
      </c>
      <c r="M25" s="3">
        <v>42</v>
      </c>
      <c r="N25" s="3">
        <v>26</v>
      </c>
      <c r="O25" s="3">
        <v>130</v>
      </c>
      <c r="P25" s="3"/>
      <c r="Q25" s="3">
        <v>353</v>
      </c>
      <c r="R25" s="4">
        <v>4.5199999999999996</v>
      </c>
      <c r="S25" s="6">
        <f>GlowNestSocialTable[[#This Row],[Link Clicks]]/GlowNestSocialTable[[#This Row],[Reach]]</f>
        <v>1.6653856008198822E-2</v>
      </c>
    </row>
    <row r="26" spans="1:19">
      <c r="A26" t="s">
        <v>57</v>
      </c>
      <c r="B26" s="2">
        <v>45670</v>
      </c>
      <c r="C26" t="s">
        <v>36</v>
      </c>
      <c r="D26" t="s">
        <v>37</v>
      </c>
      <c r="E26" t="s">
        <v>46</v>
      </c>
      <c r="F26" t="s">
        <v>44</v>
      </c>
      <c r="G26" t="s">
        <v>23</v>
      </c>
      <c r="H26" s="3">
        <v>83555</v>
      </c>
      <c r="I26" s="3">
        <v>49814</v>
      </c>
      <c r="J26" s="3">
        <v>34545</v>
      </c>
      <c r="K26" s="3">
        <v>556</v>
      </c>
      <c r="L26" s="3">
        <v>99</v>
      </c>
      <c r="M26" s="3">
        <v>52</v>
      </c>
      <c r="N26" s="3">
        <v>78</v>
      </c>
      <c r="O26" s="3">
        <v>153</v>
      </c>
      <c r="P26" s="3"/>
      <c r="Q26" s="3">
        <v>785</v>
      </c>
      <c r="R26" s="4">
        <v>2.27</v>
      </c>
      <c r="S26" s="6">
        <f>GlowNestSocialTable[[#This Row],[Link Clicks]]/GlowNestSocialTable[[#This Row],[Reach]]</f>
        <v>4.4290056448111157E-3</v>
      </c>
    </row>
    <row r="27" spans="1:19">
      <c r="A27" t="s">
        <v>58</v>
      </c>
      <c r="B27" s="2">
        <v>45670</v>
      </c>
      <c r="C27" t="s">
        <v>33</v>
      </c>
      <c r="D27" t="s">
        <v>34</v>
      </c>
      <c r="E27" t="s">
        <v>46</v>
      </c>
      <c r="F27" t="s">
        <v>22</v>
      </c>
      <c r="G27" t="s">
        <v>23</v>
      </c>
      <c r="H27" s="3">
        <v>31452</v>
      </c>
      <c r="I27" s="3">
        <v>8801</v>
      </c>
      <c r="J27" s="3">
        <v>5936</v>
      </c>
      <c r="K27" s="3">
        <v>122</v>
      </c>
      <c r="L27" s="3">
        <v>14</v>
      </c>
      <c r="M27" s="3">
        <v>17</v>
      </c>
      <c r="N27" s="3">
        <v>9</v>
      </c>
      <c r="O27" s="3">
        <v>114</v>
      </c>
      <c r="P27" s="3"/>
      <c r="Q27" s="3">
        <v>162</v>
      </c>
      <c r="R27" s="4">
        <v>2.73</v>
      </c>
      <c r="S27" s="6">
        <f>GlowNestSocialTable[[#This Row],[Link Clicks]]/GlowNestSocialTable[[#This Row],[Reach]]</f>
        <v>1.9204851752021565E-2</v>
      </c>
    </row>
    <row r="28" spans="1:19">
      <c r="A28" t="s">
        <v>59</v>
      </c>
      <c r="B28" s="2">
        <v>45671</v>
      </c>
      <c r="C28" t="s">
        <v>36</v>
      </c>
      <c r="D28" t="s">
        <v>20</v>
      </c>
      <c r="E28" t="s">
        <v>46</v>
      </c>
      <c r="F28" t="s">
        <v>31</v>
      </c>
      <c r="G28" t="s">
        <v>23</v>
      </c>
      <c r="H28" s="3">
        <v>83160</v>
      </c>
      <c r="I28" s="3">
        <v>39016</v>
      </c>
      <c r="J28" s="3">
        <v>35599</v>
      </c>
      <c r="K28" s="3">
        <v>588</v>
      </c>
      <c r="L28" s="3">
        <v>71</v>
      </c>
      <c r="M28" s="3">
        <v>92</v>
      </c>
      <c r="N28" s="3">
        <v>230</v>
      </c>
      <c r="O28" s="3">
        <v>209</v>
      </c>
      <c r="P28" s="3">
        <v>30308</v>
      </c>
      <c r="Q28" s="3">
        <v>981</v>
      </c>
      <c r="R28" s="4">
        <v>2.76</v>
      </c>
      <c r="S28" s="6">
        <f>GlowNestSocialTable[[#This Row],[Link Clicks]]/GlowNestSocialTable[[#This Row],[Reach]]</f>
        <v>5.8709514312199782E-3</v>
      </c>
    </row>
    <row r="29" spans="1:19">
      <c r="A29" t="s">
        <v>60</v>
      </c>
      <c r="B29" s="2">
        <v>45671</v>
      </c>
      <c r="C29" t="s">
        <v>19</v>
      </c>
      <c r="D29" t="s">
        <v>20</v>
      </c>
      <c r="E29" t="s">
        <v>49</v>
      </c>
      <c r="F29" t="s">
        <v>31</v>
      </c>
      <c r="G29" t="s">
        <v>23</v>
      </c>
      <c r="H29" s="3">
        <v>68871</v>
      </c>
      <c r="I29" s="3">
        <v>43583</v>
      </c>
      <c r="J29" s="3">
        <v>28564</v>
      </c>
      <c r="K29" s="3">
        <v>1266</v>
      </c>
      <c r="L29" s="3">
        <v>252</v>
      </c>
      <c r="M29" s="3">
        <v>202</v>
      </c>
      <c r="N29" s="3">
        <v>354</v>
      </c>
      <c r="O29" s="3">
        <v>245</v>
      </c>
      <c r="P29" s="3">
        <v>25047</v>
      </c>
      <c r="Q29" s="3">
        <v>2074</v>
      </c>
      <c r="R29" s="4">
        <v>7.26</v>
      </c>
      <c r="S29" s="6">
        <f>GlowNestSocialTable[[#This Row],[Link Clicks]]/GlowNestSocialTable[[#This Row],[Reach]]</f>
        <v>8.5772300798207541E-3</v>
      </c>
    </row>
    <row r="30" spans="1:19">
      <c r="A30" t="s">
        <v>61</v>
      </c>
      <c r="B30" s="2">
        <v>45672</v>
      </c>
      <c r="C30" t="s">
        <v>19</v>
      </c>
      <c r="D30" t="s">
        <v>30</v>
      </c>
      <c r="E30" t="s">
        <v>49</v>
      </c>
      <c r="F30" t="s">
        <v>22</v>
      </c>
      <c r="G30" t="s">
        <v>38</v>
      </c>
      <c r="H30" s="3">
        <v>67170</v>
      </c>
      <c r="I30" s="3">
        <v>32202</v>
      </c>
      <c r="J30" s="3">
        <v>27603</v>
      </c>
      <c r="K30" s="3">
        <v>891</v>
      </c>
      <c r="L30" s="3">
        <v>128</v>
      </c>
      <c r="M30" s="3">
        <v>101</v>
      </c>
      <c r="N30" s="3">
        <v>68</v>
      </c>
      <c r="O30" s="3">
        <v>176</v>
      </c>
      <c r="P30" s="3"/>
      <c r="Q30" s="3">
        <v>1188</v>
      </c>
      <c r="R30" s="4">
        <v>4.3</v>
      </c>
      <c r="S30" s="6">
        <f>GlowNestSocialTable[[#This Row],[Link Clicks]]/GlowNestSocialTable[[#This Row],[Reach]]</f>
        <v>6.3761185378400902E-3</v>
      </c>
    </row>
    <row r="31" spans="1:19">
      <c r="A31" t="s">
        <v>62</v>
      </c>
      <c r="B31" s="2">
        <v>45673</v>
      </c>
      <c r="C31" t="s">
        <v>19</v>
      </c>
      <c r="D31" t="s">
        <v>34</v>
      </c>
      <c r="E31" t="s">
        <v>25</v>
      </c>
      <c r="F31" t="s">
        <v>42</v>
      </c>
      <c r="G31" t="s">
        <v>23</v>
      </c>
      <c r="H31" s="3">
        <v>69326</v>
      </c>
      <c r="I31" s="3">
        <v>27571</v>
      </c>
      <c r="J31" s="3">
        <v>23002</v>
      </c>
      <c r="K31" s="3">
        <v>386</v>
      </c>
      <c r="L31" s="3">
        <v>57</v>
      </c>
      <c r="M31" s="3">
        <v>47</v>
      </c>
      <c r="N31" s="3">
        <v>42</v>
      </c>
      <c r="O31" s="3">
        <v>277</v>
      </c>
      <c r="P31" s="3"/>
      <c r="Q31" s="3">
        <v>532</v>
      </c>
      <c r="R31" s="4">
        <v>2.31</v>
      </c>
      <c r="S31" s="6">
        <f>GlowNestSocialTable[[#This Row],[Link Clicks]]/GlowNestSocialTable[[#This Row],[Reach]]</f>
        <v>1.204243109294844E-2</v>
      </c>
    </row>
    <row r="32" spans="1:19">
      <c r="A32" t="s">
        <v>63</v>
      </c>
      <c r="B32" s="2">
        <v>45673</v>
      </c>
      <c r="C32" t="s">
        <v>19</v>
      </c>
      <c r="D32" t="s">
        <v>30</v>
      </c>
      <c r="E32" t="s">
        <v>25</v>
      </c>
      <c r="F32" t="s">
        <v>31</v>
      </c>
      <c r="G32" t="s">
        <v>23</v>
      </c>
      <c r="H32" s="3">
        <v>69020</v>
      </c>
      <c r="I32" s="3">
        <v>38207</v>
      </c>
      <c r="J32" s="3">
        <v>25250</v>
      </c>
      <c r="K32" s="3">
        <v>419</v>
      </c>
      <c r="L32" s="3">
        <v>53</v>
      </c>
      <c r="M32" s="3">
        <v>53</v>
      </c>
      <c r="N32" s="3">
        <v>65</v>
      </c>
      <c r="O32" s="3">
        <v>172</v>
      </c>
      <c r="P32" s="3"/>
      <c r="Q32" s="3">
        <v>590</v>
      </c>
      <c r="R32" s="4">
        <v>2.34</v>
      </c>
      <c r="S32" s="6">
        <f>GlowNestSocialTable[[#This Row],[Link Clicks]]/GlowNestSocialTable[[#This Row],[Reach]]</f>
        <v>6.8118811881188119E-3</v>
      </c>
    </row>
    <row r="33" spans="1:19">
      <c r="A33" t="s">
        <v>64</v>
      </c>
      <c r="B33" s="2">
        <v>45674</v>
      </c>
      <c r="C33" t="s">
        <v>19</v>
      </c>
      <c r="D33" t="s">
        <v>20</v>
      </c>
      <c r="E33" t="s">
        <v>27</v>
      </c>
      <c r="F33" t="s">
        <v>22</v>
      </c>
      <c r="G33" t="s">
        <v>23</v>
      </c>
      <c r="H33" s="3">
        <v>69127</v>
      </c>
      <c r="I33" s="3">
        <v>52521</v>
      </c>
      <c r="J33" s="3">
        <v>40346</v>
      </c>
      <c r="K33" s="3">
        <v>2936</v>
      </c>
      <c r="L33" s="3">
        <v>352</v>
      </c>
      <c r="M33" s="3">
        <v>319</v>
      </c>
      <c r="N33" s="3">
        <v>820</v>
      </c>
      <c r="O33" s="3">
        <v>532</v>
      </c>
      <c r="P33" s="3">
        <v>22463</v>
      </c>
      <c r="Q33" s="3">
        <v>4427</v>
      </c>
      <c r="R33" s="4">
        <v>10.97</v>
      </c>
      <c r="S33" s="6">
        <f>GlowNestSocialTable[[#This Row],[Link Clicks]]/GlowNestSocialTable[[#This Row],[Reach]]</f>
        <v>1.3185941605115749E-2</v>
      </c>
    </row>
    <row r="34" spans="1:19">
      <c r="A34" t="s">
        <v>65</v>
      </c>
      <c r="B34" s="2">
        <v>45675</v>
      </c>
      <c r="C34" t="s">
        <v>19</v>
      </c>
      <c r="D34" t="s">
        <v>20</v>
      </c>
      <c r="E34" t="s">
        <v>21</v>
      </c>
      <c r="F34" t="s">
        <v>22</v>
      </c>
      <c r="G34" t="s">
        <v>38</v>
      </c>
      <c r="H34" s="3">
        <v>68541</v>
      </c>
      <c r="I34" s="3">
        <v>60075</v>
      </c>
      <c r="J34" s="3">
        <v>49180</v>
      </c>
      <c r="K34" s="3">
        <v>2080</v>
      </c>
      <c r="L34" s="3">
        <v>304</v>
      </c>
      <c r="M34" s="3">
        <v>303</v>
      </c>
      <c r="N34" s="3">
        <v>429</v>
      </c>
      <c r="O34" s="3">
        <v>599</v>
      </c>
      <c r="P34" s="3">
        <v>38602</v>
      </c>
      <c r="Q34" s="3">
        <v>3116</v>
      </c>
      <c r="R34" s="4">
        <v>6.34</v>
      </c>
      <c r="S34" s="6">
        <f>GlowNestSocialTable[[#This Row],[Link Clicks]]/GlowNestSocialTable[[#This Row],[Reach]]</f>
        <v>1.2179747864985766E-2</v>
      </c>
    </row>
    <row r="35" spans="1:19">
      <c r="A35" t="s">
        <v>66</v>
      </c>
      <c r="B35" s="2">
        <v>45675</v>
      </c>
      <c r="C35" t="s">
        <v>36</v>
      </c>
      <c r="D35" t="s">
        <v>67</v>
      </c>
      <c r="E35" t="s">
        <v>46</v>
      </c>
      <c r="F35" t="s">
        <v>28</v>
      </c>
      <c r="G35" t="s">
        <v>23</v>
      </c>
      <c r="H35" s="3">
        <v>79776</v>
      </c>
      <c r="I35" s="3">
        <v>26575</v>
      </c>
      <c r="J35" s="3">
        <v>22242</v>
      </c>
      <c r="K35" s="3">
        <v>308</v>
      </c>
      <c r="L35" s="3">
        <v>46</v>
      </c>
      <c r="M35" s="3">
        <v>52</v>
      </c>
      <c r="N35" s="3">
        <v>30</v>
      </c>
      <c r="O35" s="3">
        <v>108</v>
      </c>
      <c r="P35" s="3"/>
      <c r="Q35" s="3">
        <v>436</v>
      </c>
      <c r="R35" s="4">
        <v>1.96</v>
      </c>
      <c r="S35" s="6">
        <f>GlowNestSocialTable[[#This Row],[Link Clicks]]/GlowNestSocialTable[[#This Row],[Reach]]</f>
        <v>4.8556784461828975E-3</v>
      </c>
    </row>
    <row r="36" spans="1:19">
      <c r="A36" t="s">
        <v>68</v>
      </c>
      <c r="B36" s="2">
        <v>45676</v>
      </c>
      <c r="C36" t="s">
        <v>19</v>
      </c>
      <c r="D36" t="s">
        <v>30</v>
      </c>
      <c r="E36" t="s">
        <v>27</v>
      </c>
      <c r="F36" t="s">
        <v>42</v>
      </c>
      <c r="G36" t="s">
        <v>23</v>
      </c>
      <c r="H36" s="3">
        <v>69382</v>
      </c>
      <c r="I36" s="3">
        <v>23039</v>
      </c>
      <c r="J36" s="3">
        <v>20646</v>
      </c>
      <c r="K36" s="3">
        <v>954</v>
      </c>
      <c r="L36" s="3">
        <v>162</v>
      </c>
      <c r="M36" s="3">
        <v>81</v>
      </c>
      <c r="N36" s="3">
        <v>160</v>
      </c>
      <c r="O36" s="3">
        <v>188</v>
      </c>
      <c r="P36" s="3"/>
      <c r="Q36" s="3">
        <v>1357</v>
      </c>
      <c r="R36" s="4">
        <v>6.57</v>
      </c>
      <c r="S36" s="6">
        <f>GlowNestSocialTable[[#This Row],[Link Clicks]]/GlowNestSocialTable[[#This Row],[Reach]]</f>
        <v>9.1058800736220098E-3</v>
      </c>
    </row>
    <row r="37" spans="1:19">
      <c r="A37" t="s">
        <v>69</v>
      </c>
      <c r="B37" s="2">
        <v>45676</v>
      </c>
      <c r="C37" t="s">
        <v>36</v>
      </c>
      <c r="D37" t="s">
        <v>37</v>
      </c>
      <c r="E37" t="s">
        <v>27</v>
      </c>
      <c r="F37" t="s">
        <v>31</v>
      </c>
      <c r="G37" t="s">
        <v>23</v>
      </c>
      <c r="H37" s="3">
        <v>81946</v>
      </c>
      <c r="I37" s="3">
        <v>51830</v>
      </c>
      <c r="J37" s="3">
        <v>36181</v>
      </c>
      <c r="K37" s="3">
        <v>924</v>
      </c>
      <c r="L37" s="3">
        <v>152</v>
      </c>
      <c r="M37" s="3">
        <v>121</v>
      </c>
      <c r="N37" s="3">
        <v>172</v>
      </c>
      <c r="O37" s="3">
        <v>170</v>
      </c>
      <c r="P37" s="3"/>
      <c r="Q37" s="3">
        <v>1369</v>
      </c>
      <c r="R37" s="4">
        <v>3.78</v>
      </c>
      <c r="S37" s="6">
        <f>GlowNestSocialTable[[#This Row],[Link Clicks]]/GlowNestSocialTable[[#This Row],[Reach]]</f>
        <v>4.6985987120311762E-3</v>
      </c>
    </row>
    <row r="38" spans="1:19">
      <c r="A38" t="s">
        <v>70</v>
      </c>
      <c r="B38" s="2">
        <v>45677</v>
      </c>
      <c r="C38" t="s">
        <v>36</v>
      </c>
      <c r="D38" t="s">
        <v>30</v>
      </c>
      <c r="E38" t="s">
        <v>46</v>
      </c>
      <c r="F38" t="s">
        <v>44</v>
      </c>
      <c r="G38" t="s">
        <v>23</v>
      </c>
      <c r="H38" s="3">
        <v>81812</v>
      </c>
      <c r="I38" s="3">
        <v>28004</v>
      </c>
      <c r="J38" s="3">
        <v>24107</v>
      </c>
      <c r="K38" s="3">
        <v>261</v>
      </c>
      <c r="L38" s="3">
        <v>30</v>
      </c>
      <c r="M38" s="3">
        <v>40</v>
      </c>
      <c r="N38" s="3">
        <v>36</v>
      </c>
      <c r="O38" s="3">
        <v>108</v>
      </c>
      <c r="P38" s="3"/>
      <c r="Q38" s="3">
        <v>367</v>
      </c>
      <c r="R38" s="4">
        <v>1.52</v>
      </c>
      <c r="S38" s="6">
        <f>GlowNestSocialTable[[#This Row],[Link Clicks]]/GlowNestSocialTable[[#This Row],[Reach]]</f>
        <v>4.4800265483054711E-3</v>
      </c>
    </row>
    <row r="39" spans="1:19">
      <c r="A39" t="s">
        <v>71</v>
      </c>
      <c r="B39" s="2">
        <v>45678</v>
      </c>
      <c r="C39" t="s">
        <v>19</v>
      </c>
      <c r="D39" t="s">
        <v>20</v>
      </c>
      <c r="E39" t="s">
        <v>21</v>
      </c>
      <c r="F39" t="s">
        <v>28</v>
      </c>
      <c r="G39" t="s">
        <v>23</v>
      </c>
      <c r="H39" s="3">
        <v>67271</v>
      </c>
      <c r="I39" s="3">
        <v>42269</v>
      </c>
      <c r="J39" s="3">
        <v>33671</v>
      </c>
      <c r="K39" s="3">
        <v>1555</v>
      </c>
      <c r="L39" s="3">
        <v>200</v>
      </c>
      <c r="M39" s="3">
        <v>137</v>
      </c>
      <c r="N39" s="3">
        <v>416</v>
      </c>
      <c r="O39" s="3">
        <v>367</v>
      </c>
      <c r="P39" s="3">
        <v>26599</v>
      </c>
      <c r="Q39" s="3">
        <v>2308</v>
      </c>
      <c r="R39" s="4">
        <v>6.85</v>
      </c>
      <c r="S39" s="6">
        <f>GlowNestSocialTable[[#This Row],[Link Clicks]]/GlowNestSocialTable[[#This Row],[Reach]]</f>
        <v>1.0899587181847881E-2</v>
      </c>
    </row>
    <row r="40" spans="1:19">
      <c r="A40" t="s">
        <v>72</v>
      </c>
      <c r="B40" s="2">
        <v>45678</v>
      </c>
      <c r="C40" t="s">
        <v>36</v>
      </c>
      <c r="D40" t="s">
        <v>37</v>
      </c>
      <c r="E40" t="s">
        <v>21</v>
      </c>
      <c r="F40" t="s">
        <v>28</v>
      </c>
      <c r="G40" t="s">
        <v>38</v>
      </c>
      <c r="H40" s="3">
        <v>83004</v>
      </c>
      <c r="I40" s="3">
        <v>74716</v>
      </c>
      <c r="J40" s="3">
        <v>66443</v>
      </c>
      <c r="K40" s="3">
        <v>1324</v>
      </c>
      <c r="L40" s="3">
        <v>194</v>
      </c>
      <c r="M40" s="3">
        <v>193</v>
      </c>
      <c r="N40" s="3">
        <v>186</v>
      </c>
      <c r="O40" s="3">
        <v>393</v>
      </c>
      <c r="P40" s="3"/>
      <c r="Q40" s="3">
        <v>1897</v>
      </c>
      <c r="R40" s="4">
        <v>2.86</v>
      </c>
      <c r="S40" s="6">
        <f>GlowNestSocialTable[[#This Row],[Link Clicks]]/GlowNestSocialTable[[#This Row],[Reach]]</f>
        <v>5.914844302635342E-3</v>
      </c>
    </row>
    <row r="41" spans="1:19">
      <c r="A41" t="s">
        <v>73</v>
      </c>
      <c r="B41" s="2">
        <v>45679</v>
      </c>
      <c r="C41" t="s">
        <v>19</v>
      </c>
      <c r="D41" t="s">
        <v>30</v>
      </c>
      <c r="E41" t="s">
        <v>21</v>
      </c>
      <c r="F41" t="s">
        <v>42</v>
      </c>
      <c r="G41" t="s">
        <v>23</v>
      </c>
      <c r="H41" s="3">
        <v>68114</v>
      </c>
      <c r="I41" s="3">
        <v>29880</v>
      </c>
      <c r="J41" s="3">
        <v>19516</v>
      </c>
      <c r="K41" s="3">
        <v>539</v>
      </c>
      <c r="L41" s="3">
        <v>98</v>
      </c>
      <c r="M41" s="3">
        <v>65</v>
      </c>
      <c r="N41" s="3">
        <v>72</v>
      </c>
      <c r="O41" s="3">
        <v>225</v>
      </c>
      <c r="P41" s="3"/>
      <c r="Q41" s="3">
        <v>774</v>
      </c>
      <c r="R41" s="4">
        <v>3.97</v>
      </c>
      <c r="S41" s="6">
        <f>GlowNestSocialTable[[#This Row],[Link Clicks]]/GlowNestSocialTable[[#This Row],[Reach]]</f>
        <v>1.1529001844640296E-2</v>
      </c>
    </row>
    <row r="42" spans="1:19">
      <c r="A42" t="s">
        <v>74</v>
      </c>
      <c r="B42" s="2">
        <v>45679</v>
      </c>
      <c r="C42" t="s">
        <v>36</v>
      </c>
      <c r="D42" t="s">
        <v>30</v>
      </c>
      <c r="E42" t="s">
        <v>46</v>
      </c>
      <c r="F42" t="s">
        <v>22</v>
      </c>
      <c r="G42" t="s">
        <v>23</v>
      </c>
      <c r="H42" s="3">
        <v>82887</v>
      </c>
      <c r="I42" s="3">
        <v>37210</v>
      </c>
      <c r="J42" s="3">
        <v>24888</v>
      </c>
      <c r="K42" s="3">
        <v>355</v>
      </c>
      <c r="L42" s="3">
        <v>44</v>
      </c>
      <c r="M42" s="3">
        <v>55</v>
      </c>
      <c r="N42" s="3">
        <v>31</v>
      </c>
      <c r="O42" s="3">
        <v>132</v>
      </c>
      <c r="P42" s="3"/>
      <c r="Q42" s="3">
        <v>485</v>
      </c>
      <c r="R42" s="4">
        <v>1.95</v>
      </c>
      <c r="S42" s="6">
        <f>GlowNestSocialTable[[#This Row],[Link Clicks]]/GlowNestSocialTable[[#This Row],[Reach]]</f>
        <v>5.303760848601736E-3</v>
      </c>
    </row>
    <row r="43" spans="1:19">
      <c r="A43" t="s">
        <v>75</v>
      </c>
      <c r="B43" s="2">
        <v>45680</v>
      </c>
      <c r="C43" t="s">
        <v>36</v>
      </c>
      <c r="D43" t="s">
        <v>37</v>
      </c>
      <c r="E43" t="s">
        <v>21</v>
      </c>
      <c r="F43" t="s">
        <v>44</v>
      </c>
      <c r="G43" t="s">
        <v>23</v>
      </c>
      <c r="H43" s="3">
        <v>82066</v>
      </c>
      <c r="I43" s="3">
        <v>61332</v>
      </c>
      <c r="J43" s="3">
        <v>43356</v>
      </c>
      <c r="K43" s="3">
        <v>857</v>
      </c>
      <c r="L43" s="3">
        <v>103</v>
      </c>
      <c r="M43" s="3">
        <v>122</v>
      </c>
      <c r="N43" s="3">
        <v>225</v>
      </c>
      <c r="O43" s="3">
        <v>162</v>
      </c>
      <c r="P43" s="3"/>
      <c r="Q43" s="3">
        <v>1307</v>
      </c>
      <c r="R43" s="4">
        <v>3.01</v>
      </c>
      <c r="S43" s="6">
        <f>GlowNestSocialTable[[#This Row],[Link Clicks]]/GlowNestSocialTable[[#This Row],[Reach]]</f>
        <v>3.736507057846665E-3</v>
      </c>
    </row>
    <row r="44" spans="1:19">
      <c r="A44" t="s">
        <v>76</v>
      </c>
      <c r="B44" s="2">
        <v>45681</v>
      </c>
      <c r="C44" t="s">
        <v>33</v>
      </c>
      <c r="D44" t="s">
        <v>37</v>
      </c>
      <c r="E44" t="s">
        <v>25</v>
      </c>
      <c r="F44" t="s">
        <v>42</v>
      </c>
      <c r="G44" t="s">
        <v>38</v>
      </c>
      <c r="H44" s="3">
        <v>30843</v>
      </c>
      <c r="I44" s="3">
        <v>18163</v>
      </c>
      <c r="J44" s="3">
        <v>12428</v>
      </c>
      <c r="K44" s="3">
        <v>286</v>
      </c>
      <c r="L44" s="3">
        <v>45</v>
      </c>
      <c r="M44" s="3">
        <v>31</v>
      </c>
      <c r="N44" s="3">
        <v>32</v>
      </c>
      <c r="O44" s="3">
        <v>107</v>
      </c>
      <c r="P44" s="3"/>
      <c r="Q44" s="3">
        <v>394</v>
      </c>
      <c r="R44" s="4">
        <v>3.17</v>
      </c>
      <c r="S44" s="6">
        <f>GlowNestSocialTable[[#This Row],[Link Clicks]]/GlowNestSocialTable[[#This Row],[Reach]]</f>
        <v>8.6095912455745084E-3</v>
      </c>
    </row>
    <row r="45" spans="1:19">
      <c r="A45" t="s">
        <v>77</v>
      </c>
      <c r="B45" s="2">
        <v>45681</v>
      </c>
      <c r="C45" t="s">
        <v>33</v>
      </c>
      <c r="D45" t="s">
        <v>30</v>
      </c>
      <c r="E45" t="s">
        <v>49</v>
      </c>
      <c r="F45" t="s">
        <v>31</v>
      </c>
      <c r="G45" t="s">
        <v>23</v>
      </c>
      <c r="H45" s="3">
        <v>35188</v>
      </c>
      <c r="I45" s="3">
        <v>12992</v>
      </c>
      <c r="J45" s="3">
        <v>9506</v>
      </c>
      <c r="K45" s="3">
        <v>289</v>
      </c>
      <c r="L45" s="3">
        <v>42</v>
      </c>
      <c r="M45" s="3">
        <v>43</v>
      </c>
      <c r="N45" s="3">
        <v>16</v>
      </c>
      <c r="O45" s="3">
        <v>86</v>
      </c>
      <c r="P45" s="3"/>
      <c r="Q45" s="3">
        <v>390</v>
      </c>
      <c r="R45" s="4">
        <v>4.0999999999999996</v>
      </c>
      <c r="S45" s="6">
        <f>GlowNestSocialTable[[#This Row],[Link Clicks]]/GlowNestSocialTable[[#This Row],[Reach]]</f>
        <v>9.0469177361666309E-3</v>
      </c>
    </row>
    <row r="46" spans="1:19">
      <c r="A46" t="s">
        <v>78</v>
      </c>
      <c r="B46" s="2">
        <v>45682</v>
      </c>
      <c r="C46" t="s">
        <v>19</v>
      </c>
      <c r="D46" t="s">
        <v>20</v>
      </c>
      <c r="E46" t="s">
        <v>25</v>
      </c>
      <c r="F46" t="s">
        <v>42</v>
      </c>
      <c r="G46" t="s">
        <v>23</v>
      </c>
      <c r="H46" s="3">
        <v>69631</v>
      </c>
      <c r="I46" s="3">
        <v>43862</v>
      </c>
      <c r="J46" s="3">
        <v>28688</v>
      </c>
      <c r="K46" s="3">
        <v>998</v>
      </c>
      <c r="L46" s="3">
        <v>137</v>
      </c>
      <c r="M46" s="3">
        <v>138</v>
      </c>
      <c r="N46" s="3">
        <v>205</v>
      </c>
      <c r="O46" s="3">
        <v>291</v>
      </c>
      <c r="P46" s="3">
        <v>24834</v>
      </c>
      <c r="Q46" s="3">
        <v>1478</v>
      </c>
      <c r="R46" s="4">
        <v>5.15</v>
      </c>
      <c r="S46" s="6">
        <f>GlowNestSocialTable[[#This Row],[Link Clicks]]/GlowNestSocialTable[[#This Row],[Reach]]</f>
        <v>1.0143614054657E-2</v>
      </c>
    </row>
    <row r="47" spans="1:19">
      <c r="A47" t="s">
        <v>79</v>
      </c>
      <c r="B47" s="2">
        <v>45682</v>
      </c>
      <c r="C47" t="s">
        <v>19</v>
      </c>
      <c r="D47" t="s">
        <v>37</v>
      </c>
      <c r="E47" t="s">
        <v>49</v>
      </c>
      <c r="F47" t="s">
        <v>42</v>
      </c>
      <c r="G47" t="s">
        <v>23</v>
      </c>
      <c r="H47" s="3">
        <v>67045</v>
      </c>
      <c r="I47" s="3">
        <v>19573</v>
      </c>
      <c r="J47" s="3">
        <v>17291</v>
      </c>
      <c r="K47" s="3">
        <v>633</v>
      </c>
      <c r="L47" s="3">
        <v>111</v>
      </c>
      <c r="M47" s="3">
        <v>61</v>
      </c>
      <c r="N47" s="3">
        <v>185</v>
      </c>
      <c r="O47" s="3">
        <v>162</v>
      </c>
      <c r="P47" s="3"/>
      <c r="Q47" s="3">
        <v>990</v>
      </c>
      <c r="R47" s="4">
        <v>5.73</v>
      </c>
      <c r="S47" s="6">
        <f>GlowNestSocialTable[[#This Row],[Link Clicks]]/GlowNestSocialTable[[#This Row],[Reach]]</f>
        <v>9.3690359146376724E-3</v>
      </c>
    </row>
    <row r="48" spans="1:19">
      <c r="A48" t="s">
        <v>80</v>
      </c>
      <c r="B48" s="2">
        <v>45683</v>
      </c>
      <c r="C48" t="s">
        <v>33</v>
      </c>
      <c r="D48" t="s">
        <v>30</v>
      </c>
      <c r="E48" t="s">
        <v>46</v>
      </c>
      <c r="F48" t="s">
        <v>22</v>
      </c>
      <c r="G48" t="s">
        <v>23</v>
      </c>
      <c r="H48" s="3">
        <v>31836</v>
      </c>
      <c r="I48" s="3">
        <v>12125</v>
      </c>
      <c r="J48" s="3">
        <v>8041</v>
      </c>
      <c r="K48" s="3">
        <v>170</v>
      </c>
      <c r="L48" s="3">
        <v>22</v>
      </c>
      <c r="M48" s="3">
        <v>18</v>
      </c>
      <c r="N48" s="3">
        <v>42</v>
      </c>
      <c r="O48" s="3">
        <v>106</v>
      </c>
      <c r="P48" s="3"/>
      <c r="Q48" s="3">
        <v>252</v>
      </c>
      <c r="R48" s="4">
        <v>3.13</v>
      </c>
      <c r="S48" s="6">
        <f>GlowNestSocialTable[[#This Row],[Link Clicks]]/GlowNestSocialTable[[#This Row],[Reach]]</f>
        <v>1.3182439995025495E-2</v>
      </c>
    </row>
    <row r="49" spans="1:19">
      <c r="A49" t="s">
        <v>81</v>
      </c>
      <c r="B49" s="2">
        <v>45684</v>
      </c>
      <c r="C49" t="s">
        <v>19</v>
      </c>
      <c r="D49" t="s">
        <v>37</v>
      </c>
      <c r="E49" t="s">
        <v>46</v>
      </c>
      <c r="F49" t="s">
        <v>42</v>
      </c>
      <c r="G49" t="s">
        <v>23</v>
      </c>
      <c r="H49" s="3">
        <v>67128</v>
      </c>
      <c r="I49" s="3">
        <v>21474</v>
      </c>
      <c r="J49" s="3">
        <v>17412</v>
      </c>
      <c r="K49" s="3">
        <v>587</v>
      </c>
      <c r="L49" s="3">
        <v>102</v>
      </c>
      <c r="M49" s="3">
        <v>58</v>
      </c>
      <c r="N49" s="3">
        <v>84</v>
      </c>
      <c r="O49" s="3">
        <v>258</v>
      </c>
      <c r="P49" s="3"/>
      <c r="Q49" s="3">
        <v>831</v>
      </c>
      <c r="R49" s="4">
        <v>4.7699999999999996</v>
      </c>
      <c r="S49" s="6">
        <f>GlowNestSocialTable[[#This Row],[Link Clicks]]/GlowNestSocialTable[[#This Row],[Reach]]</f>
        <v>1.4817367332873881E-2</v>
      </c>
    </row>
    <row r="50" spans="1:19">
      <c r="A50" t="s">
        <v>82</v>
      </c>
      <c r="B50" s="2">
        <v>45684</v>
      </c>
      <c r="C50" t="s">
        <v>19</v>
      </c>
      <c r="D50" t="s">
        <v>30</v>
      </c>
      <c r="E50" t="s">
        <v>21</v>
      </c>
      <c r="F50" t="s">
        <v>42</v>
      </c>
      <c r="G50" t="s">
        <v>23</v>
      </c>
      <c r="H50" s="3">
        <v>70028</v>
      </c>
      <c r="I50" s="3">
        <v>32112</v>
      </c>
      <c r="J50" s="3">
        <v>20859</v>
      </c>
      <c r="K50" s="3">
        <v>630</v>
      </c>
      <c r="L50" s="3">
        <v>65</v>
      </c>
      <c r="M50" s="3">
        <v>77</v>
      </c>
      <c r="N50" s="3">
        <v>64</v>
      </c>
      <c r="O50" s="3">
        <v>146</v>
      </c>
      <c r="P50" s="3"/>
      <c r="Q50" s="3">
        <v>836</v>
      </c>
      <c r="R50" s="4">
        <v>4.01</v>
      </c>
      <c r="S50" s="6">
        <f>GlowNestSocialTable[[#This Row],[Link Clicks]]/GlowNestSocialTable[[#This Row],[Reach]]</f>
        <v>6.9993767678220437E-3</v>
      </c>
    </row>
    <row r="51" spans="1:19">
      <c r="A51" t="s">
        <v>83</v>
      </c>
      <c r="B51" s="2">
        <v>45685</v>
      </c>
      <c r="C51" t="s">
        <v>36</v>
      </c>
      <c r="D51" t="s">
        <v>30</v>
      </c>
      <c r="E51" t="s">
        <v>46</v>
      </c>
      <c r="F51" t="s">
        <v>31</v>
      </c>
      <c r="G51" t="s">
        <v>23</v>
      </c>
      <c r="H51" s="3">
        <v>82473</v>
      </c>
      <c r="I51" s="3">
        <v>32438</v>
      </c>
      <c r="J51" s="3">
        <v>22603</v>
      </c>
      <c r="K51" s="3">
        <v>339</v>
      </c>
      <c r="L51" s="3">
        <v>53</v>
      </c>
      <c r="M51" s="3">
        <v>45</v>
      </c>
      <c r="N51" s="3">
        <v>32</v>
      </c>
      <c r="O51" s="3">
        <v>110</v>
      </c>
      <c r="P51" s="3"/>
      <c r="Q51" s="3">
        <v>469</v>
      </c>
      <c r="R51" s="4">
        <v>2.0699999999999998</v>
      </c>
      <c r="S51" s="6">
        <f>GlowNestSocialTable[[#This Row],[Link Clicks]]/GlowNestSocialTable[[#This Row],[Reach]]</f>
        <v>4.8666106269079322E-3</v>
      </c>
    </row>
    <row r="52" spans="1:19">
      <c r="A52" t="s">
        <v>84</v>
      </c>
      <c r="B52" s="2">
        <v>45685</v>
      </c>
      <c r="C52" t="s">
        <v>19</v>
      </c>
      <c r="D52" t="s">
        <v>34</v>
      </c>
      <c r="E52" t="s">
        <v>21</v>
      </c>
      <c r="F52" t="s">
        <v>31</v>
      </c>
      <c r="G52" t="s">
        <v>23</v>
      </c>
      <c r="H52" s="3">
        <v>67966</v>
      </c>
      <c r="I52" s="3">
        <v>26393</v>
      </c>
      <c r="J52" s="3">
        <v>22243</v>
      </c>
      <c r="K52" s="3">
        <v>821</v>
      </c>
      <c r="L52" s="3">
        <v>123</v>
      </c>
      <c r="M52" s="3">
        <v>103</v>
      </c>
      <c r="N52" s="3">
        <v>74</v>
      </c>
      <c r="O52" s="3">
        <v>224</v>
      </c>
      <c r="P52" s="3"/>
      <c r="Q52" s="3">
        <v>1121</v>
      </c>
      <c r="R52" s="4">
        <v>5.04</v>
      </c>
      <c r="S52" s="6">
        <f>GlowNestSocialTable[[#This Row],[Link Clicks]]/GlowNestSocialTable[[#This Row],[Reach]]</f>
        <v>1.0070584003956301E-2</v>
      </c>
    </row>
    <row r="53" spans="1:19">
      <c r="A53" t="s">
        <v>85</v>
      </c>
      <c r="B53" s="2">
        <v>45686</v>
      </c>
      <c r="C53" t="s">
        <v>19</v>
      </c>
      <c r="D53" t="s">
        <v>37</v>
      </c>
      <c r="E53" t="s">
        <v>25</v>
      </c>
      <c r="F53" t="s">
        <v>28</v>
      </c>
      <c r="G53" t="s">
        <v>38</v>
      </c>
      <c r="H53" s="3">
        <v>69045</v>
      </c>
      <c r="I53" s="3">
        <v>53535</v>
      </c>
      <c r="J53" s="3">
        <v>38366</v>
      </c>
      <c r="K53" s="3">
        <v>1110</v>
      </c>
      <c r="L53" s="3">
        <v>163</v>
      </c>
      <c r="M53" s="3">
        <v>154</v>
      </c>
      <c r="N53" s="3">
        <v>200</v>
      </c>
      <c r="O53" s="3">
        <v>297</v>
      </c>
      <c r="P53" s="3"/>
      <c r="Q53" s="3">
        <v>1627</v>
      </c>
      <c r="R53" s="4">
        <v>4.24</v>
      </c>
      <c r="S53" s="6">
        <f>GlowNestSocialTable[[#This Row],[Link Clicks]]/GlowNestSocialTable[[#This Row],[Reach]]</f>
        <v>7.7412292133660007E-3</v>
      </c>
    </row>
    <row r="54" spans="1:19">
      <c r="A54" t="s">
        <v>86</v>
      </c>
      <c r="B54" s="2">
        <v>45687</v>
      </c>
      <c r="C54" t="s">
        <v>36</v>
      </c>
      <c r="D54" t="s">
        <v>20</v>
      </c>
      <c r="E54" t="s">
        <v>25</v>
      </c>
      <c r="F54" t="s">
        <v>31</v>
      </c>
      <c r="G54" t="s">
        <v>23</v>
      </c>
      <c r="H54" s="3">
        <v>83394</v>
      </c>
      <c r="I54" s="3">
        <v>59023</v>
      </c>
      <c r="J54" s="3">
        <v>42749</v>
      </c>
      <c r="K54" s="3">
        <v>624</v>
      </c>
      <c r="L54" s="3">
        <v>79</v>
      </c>
      <c r="M54" s="3">
        <v>104</v>
      </c>
      <c r="N54" s="3">
        <v>67</v>
      </c>
      <c r="O54" s="3">
        <v>193</v>
      </c>
      <c r="P54" s="3">
        <v>28985</v>
      </c>
      <c r="Q54" s="3">
        <v>874</v>
      </c>
      <c r="R54" s="4">
        <v>2.04</v>
      </c>
      <c r="S54" s="6">
        <f>GlowNestSocialTable[[#This Row],[Link Clicks]]/GlowNestSocialTable[[#This Row],[Reach]]</f>
        <v>4.5147254906547519E-3</v>
      </c>
    </row>
    <row r="55" spans="1:19">
      <c r="A55" t="s">
        <v>87</v>
      </c>
      <c r="B55" s="2">
        <v>45687</v>
      </c>
      <c r="C55" t="s">
        <v>33</v>
      </c>
      <c r="D55" t="s">
        <v>34</v>
      </c>
      <c r="E55" t="s">
        <v>25</v>
      </c>
      <c r="F55" t="s">
        <v>44</v>
      </c>
      <c r="G55" t="s">
        <v>38</v>
      </c>
      <c r="H55" s="3">
        <v>32129</v>
      </c>
      <c r="I55" s="3">
        <v>15707</v>
      </c>
      <c r="J55" s="3">
        <v>11274</v>
      </c>
      <c r="K55" s="3">
        <v>138</v>
      </c>
      <c r="L55" s="3">
        <v>19</v>
      </c>
      <c r="M55" s="3">
        <v>22</v>
      </c>
      <c r="N55" s="3">
        <v>8</v>
      </c>
      <c r="O55" s="3">
        <v>107</v>
      </c>
      <c r="P55" s="3"/>
      <c r="Q55" s="3">
        <v>187</v>
      </c>
      <c r="R55" s="4">
        <v>1.66</v>
      </c>
      <c r="S55" s="6">
        <f>GlowNestSocialTable[[#This Row],[Link Clicks]]/GlowNestSocialTable[[#This Row],[Reach]]</f>
        <v>9.4908639347170472E-3</v>
      </c>
    </row>
    <row r="56" spans="1:19">
      <c r="A56" t="s">
        <v>88</v>
      </c>
      <c r="B56" s="2">
        <v>45688</v>
      </c>
      <c r="C56" t="s">
        <v>19</v>
      </c>
      <c r="D56" t="s">
        <v>30</v>
      </c>
      <c r="E56" t="s">
        <v>21</v>
      </c>
      <c r="F56" t="s">
        <v>28</v>
      </c>
      <c r="G56" t="s">
        <v>23</v>
      </c>
      <c r="H56" s="3">
        <v>67646</v>
      </c>
      <c r="I56" s="3">
        <v>23044</v>
      </c>
      <c r="J56" s="3">
        <v>17255</v>
      </c>
      <c r="K56" s="3">
        <v>722</v>
      </c>
      <c r="L56" s="3">
        <v>72</v>
      </c>
      <c r="M56" s="3">
        <v>65</v>
      </c>
      <c r="N56" s="3">
        <v>115</v>
      </c>
      <c r="O56" s="3">
        <v>163</v>
      </c>
      <c r="P56" s="3"/>
      <c r="Q56" s="3">
        <v>974</v>
      </c>
      <c r="R56" s="4">
        <v>5.64</v>
      </c>
      <c r="S56" s="6">
        <f>GlowNestSocialTable[[#This Row],[Link Clicks]]/GlowNestSocialTable[[#This Row],[Reach]]</f>
        <v>9.4465372355838888E-3</v>
      </c>
    </row>
    <row r="57" spans="1:19">
      <c r="A57" t="s">
        <v>89</v>
      </c>
      <c r="B57" s="2">
        <v>45688</v>
      </c>
      <c r="C57" t="s">
        <v>36</v>
      </c>
      <c r="D57" t="s">
        <v>30</v>
      </c>
      <c r="E57" t="s">
        <v>27</v>
      </c>
      <c r="F57" t="s">
        <v>42</v>
      </c>
      <c r="G57" t="s">
        <v>23</v>
      </c>
      <c r="H57" s="3">
        <v>85680</v>
      </c>
      <c r="I57" s="3">
        <v>45306</v>
      </c>
      <c r="J57" s="3">
        <v>35137</v>
      </c>
      <c r="K57" s="3">
        <v>682</v>
      </c>
      <c r="L57" s="3">
        <v>87</v>
      </c>
      <c r="M57" s="3">
        <v>103</v>
      </c>
      <c r="N57" s="3">
        <v>159</v>
      </c>
      <c r="O57" s="3">
        <v>139</v>
      </c>
      <c r="P57" s="3"/>
      <c r="Q57" s="3">
        <v>1031</v>
      </c>
      <c r="R57" s="4">
        <v>2.93</v>
      </c>
      <c r="S57" s="6">
        <f>GlowNestSocialTable[[#This Row],[Link Clicks]]/GlowNestSocialTable[[#This Row],[Reach]]</f>
        <v>3.9559438768249997E-3</v>
      </c>
    </row>
    <row r="58" spans="1:19">
      <c r="A58" t="s">
        <v>90</v>
      </c>
      <c r="B58" s="2">
        <v>45689</v>
      </c>
      <c r="C58" t="s">
        <v>33</v>
      </c>
      <c r="D58" t="s">
        <v>20</v>
      </c>
      <c r="E58" t="s">
        <v>27</v>
      </c>
      <c r="F58" t="s">
        <v>28</v>
      </c>
      <c r="G58" t="s">
        <v>23</v>
      </c>
      <c r="H58" s="3">
        <v>29403</v>
      </c>
      <c r="I58" s="3">
        <v>16448</v>
      </c>
      <c r="J58" s="3">
        <v>12793</v>
      </c>
      <c r="K58" s="3">
        <v>538</v>
      </c>
      <c r="L58" s="3">
        <v>76</v>
      </c>
      <c r="M58" s="3">
        <v>72</v>
      </c>
      <c r="N58" s="3">
        <v>285</v>
      </c>
      <c r="O58" s="3">
        <v>176</v>
      </c>
      <c r="P58" s="3">
        <v>10247</v>
      </c>
      <c r="Q58" s="3">
        <v>971</v>
      </c>
      <c r="R58" s="4">
        <v>7.59</v>
      </c>
      <c r="S58" s="6">
        <f>GlowNestSocialTable[[#This Row],[Link Clicks]]/GlowNestSocialTable[[#This Row],[Reach]]</f>
        <v>1.3757523645743766E-2</v>
      </c>
    </row>
    <row r="59" spans="1:19">
      <c r="A59" t="s">
        <v>91</v>
      </c>
      <c r="B59" s="2">
        <v>45690</v>
      </c>
      <c r="C59" t="s">
        <v>19</v>
      </c>
      <c r="D59" t="s">
        <v>20</v>
      </c>
      <c r="E59" t="s">
        <v>27</v>
      </c>
      <c r="F59" t="s">
        <v>42</v>
      </c>
      <c r="G59" t="s">
        <v>23</v>
      </c>
      <c r="H59" s="3">
        <v>71836</v>
      </c>
      <c r="I59" s="3">
        <v>56247</v>
      </c>
      <c r="J59" s="3">
        <v>39274</v>
      </c>
      <c r="K59" s="3">
        <v>1933</v>
      </c>
      <c r="L59" s="3">
        <v>301</v>
      </c>
      <c r="M59" s="3">
        <v>353</v>
      </c>
      <c r="N59" s="3">
        <v>767</v>
      </c>
      <c r="O59" s="3">
        <v>537</v>
      </c>
      <c r="P59" s="3">
        <v>27649</v>
      </c>
      <c r="Q59" s="3">
        <v>3354</v>
      </c>
      <c r="R59" s="4">
        <v>8.5399999999999991</v>
      </c>
      <c r="S59" s="6">
        <f>GlowNestSocialTable[[#This Row],[Link Clicks]]/GlowNestSocialTable[[#This Row],[Reach]]</f>
        <v>1.3673167999185212E-2</v>
      </c>
    </row>
    <row r="60" spans="1:19">
      <c r="A60" t="s">
        <v>92</v>
      </c>
      <c r="B60" s="2">
        <v>45690</v>
      </c>
      <c r="C60" t="s">
        <v>36</v>
      </c>
      <c r="D60" t="s">
        <v>30</v>
      </c>
      <c r="E60" t="s">
        <v>46</v>
      </c>
      <c r="F60" t="s">
        <v>42</v>
      </c>
      <c r="G60" t="s">
        <v>38</v>
      </c>
      <c r="H60" s="3">
        <v>81319</v>
      </c>
      <c r="I60" s="3">
        <v>68701</v>
      </c>
      <c r="J60" s="3">
        <v>50150</v>
      </c>
      <c r="K60" s="3">
        <v>687</v>
      </c>
      <c r="L60" s="3">
        <v>65</v>
      </c>
      <c r="M60" s="3">
        <v>67</v>
      </c>
      <c r="N60" s="3">
        <v>80</v>
      </c>
      <c r="O60" s="3">
        <v>236</v>
      </c>
      <c r="P60" s="3"/>
      <c r="Q60" s="3">
        <v>899</v>
      </c>
      <c r="R60" s="4">
        <v>1.79</v>
      </c>
      <c r="S60" s="6">
        <f>GlowNestSocialTable[[#This Row],[Link Clicks]]/GlowNestSocialTable[[#This Row],[Reach]]</f>
        <v>4.7058823529411761E-3</v>
      </c>
    </row>
    <row r="61" spans="1:19">
      <c r="A61" t="s">
        <v>93</v>
      </c>
      <c r="B61" s="2">
        <v>45691</v>
      </c>
      <c r="C61" t="s">
        <v>33</v>
      </c>
      <c r="D61" t="s">
        <v>34</v>
      </c>
      <c r="E61" t="s">
        <v>27</v>
      </c>
      <c r="F61" t="s">
        <v>22</v>
      </c>
      <c r="G61" t="s">
        <v>23</v>
      </c>
      <c r="H61" s="3">
        <v>31855</v>
      </c>
      <c r="I61" s="3">
        <v>12531</v>
      </c>
      <c r="J61" s="3">
        <v>8556</v>
      </c>
      <c r="K61" s="3">
        <v>257</v>
      </c>
      <c r="L61" s="3">
        <v>29</v>
      </c>
      <c r="M61" s="3">
        <v>36</v>
      </c>
      <c r="N61" s="3">
        <v>20</v>
      </c>
      <c r="O61" s="3">
        <v>181</v>
      </c>
      <c r="P61" s="3"/>
      <c r="Q61" s="3">
        <v>342</v>
      </c>
      <c r="R61" s="4">
        <v>4</v>
      </c>
      <c r="S61" s="6">
        <f>GlowNestSocialTable[[#This Row],[Link Clicks]]/GlowNestSocialTable[[#This Row],[Reach]]</f>
        <v>2.1154745208041142E-2</v>
      </c>
    </row>
    <row r="62" spans="1:19">
      <c r="A62" t="s">
        <v>94</v>
      </c>
      <c r="B62" s="2">
        <v>45692</v>
      </c>
      <c r="C62" t="s">
        <v>33</v>
      </c>
      <c r="D62" t="s">
        <v>34</v>
      </c>
      <c r="E62" t="s">
        <v>25</v>
      </c>
      <c r="F62" t="s">
        <v>31</v>
      </c>
      <c r="G62" t="s">
        <v>23</v>
      </c>
      <c r="H62" s="3">
        <v>32238</v>
      </c>
      <c r="I62" s="3">
        <v>12813</v>
      </c>
      <c r="J62" s="3">
        <v>8270</v>
      </c>
      <c r="K62" s="3">
        <v>106</v>
      </c>
      <c r="L62" s="3">
        <v>12</v>
      </c>
      <c r="M62" s="3">
        <v>15</v>
      </c>
      <c r="N62" s="3">
        <v>7</v>
      </c>
      <c r="O62" s="3">
        <v>85</v>
      </c>
      <c r="P62" s="3"/>
      <c r="Q62" s="3">
        <v>140</v>
      </c>
      <c r="R62" s="4">
        <v>1.69</v>
      </c>
      <c r="S62" s="6">
        <f>GlowNestSocialTable[[#This Row],[Link Clicks]]/GlowNestSocialTable[[#This Row],[Reach]]</f>
        <v>1.0278113663845224E-2</v>
      </c>
    </row>
    <row r="63" spans="1:19">
      <c r="A63" t="s">
        <v>95</v>
      </c>
      <c r="B63" s="2">
        <v>45692</v>
      </c>
      <c r="C63" t="s">
        <v>36</v>
      </c>
      <c r="D63" t="s">
        <v>20</v>
      </c>
      <c r="E63" t="s">
        <v>46</v>
      </c>
      <c r="F63" t="s">
        <v>44</v>
      </c>
      <c r="G63" t="s">
        <v>23</v>
      </c>
      <c r="H63" s="3">
        <v>85051</v>
      </c>
      <c r="I63" s="3">
        <v>51275</v>
      </c>
      <c r="J63" s="3">
        <v>46634</v>
      </c>
      <c r="K63" s="3">
        <v>1147</v>
      </c>
      <c r="L63" s="3">
        <v>125</v>
      </c>
      <c r="M63" s="3">
        <v>162</v>
      </c>
      <c r="N63" s="3">
        <v>210</v>
      </c>
      <c r="O63" s="3">
        <v>259</v>
      </c>
      <c r="P63" s="3">
        <v>38215</v>
      </c>
      <c r="Q63" s="3">
        <v>1644</v>
      </c>
      <c r="R63" s="4">
        <v>3.53</v>
      </c>
      <c r="S63" s="6">
        <f>GlowNestSocialTable[[#This Row],[Link Clicks]]/GlowNestSocialTable[[#This Row],[Reach]]</f>
        <v>5.5538877214049839E-3</v>
      </c>
    </row>
    <row r="64" spans="1:19">
      <c r="A64" t="s">
        <v>96</v>
      </c>
      <c r="B64" s="2">
        <v>45693</v>
      </c>
      <c r="C64" t="s">
        <v>19</v>
      </c>
      <c r="D64" t="s">
        <v>37</v>
      </c>
      <c r="E64" t="s">
        <v>49</v>
      </c>
      <c r="F64" t="s">
        <v>42</v>
      </c>
      <c r="G64" t="s">
        <v>23</v>
      </c>
      <c r="H64" s="3">
        <v>68612</v>
      </c>
      <c r="I64" s="3">
        <v>26817</v>
      </c>
      <c r="J64" s="3">
        <v>23942</v>
      </c>
      <c r="K64" s="3">
        <v>936</v>
      </c>
      <c r="L64" s="3">
        <v>137</v>
      </c>
      <c r="M64" s="3">
        <v>99</v>
      </c>
      <c r="N64" s="3">
        <v>89</v>
      </c>
      <c r="O64" s="3">
        <v>217</v>
      </c>
      <c r="P64" s="3"/>
      <c r="Q64" s="3">
        <v>1261</v>
      </c>
      <c r="R64" s="4">
        <v>5.27</v>
      </c>
      <c r="S64" s="6">
        <f>GlowNestSocialTable[[#This Row],[Link Clicks]]/GlowNestSocialTable[[#This Row],[Reach]]</f>
        <v>9.0635702948792911E-3</v>
      </c>
    </row>
    <row r="65" spans="1:19">
      <c r="A65" t="s">
        <v>97</v>
      </c>
      <c r="B65" s="2">
        <v>45693</v>
      </c>
      <c r="C65" t="s">
        <v>19</v>
      </c>
      <c r="D65" t="s">
        <v>20</v>
      </c>
      <c r="E65" t="s">
        <v>46</v>
      </c>
      <c r="F65" t="s">
        <v>28</v>
      </c>
      <c r="G65" t="s">
        <v>23</v>
      </c>
      <c r="H65" s="3">
        <v>69401</v>
      </c>
      <c r="I65" s="3">
        <v>38172</v>
      </c>
      <c r="J65" s="3">
        <v>25475</v>
      </c>
      <c r="K65" s="3">
        <v>1121</v>
      </c>
      <c r="L65" s="3">
        <v>136</v>
      </c>
      <c r="M65" s="3">
        <v>93</v>
      </c>
      <c r="N65" s="3">
        <v>217</v>
      </c>
      <c r="O65" s="3">
        <v>309</v>
      </c>
      <c r="P65" s="3">
        <v>20344</v>
      </c>
      <c r="Q65" s="3">
        <v>1567</v>
      </c>
      <c r="R65" s="4">
        <v>12.3</v>
      </c>
      <c r="S65" s="6">
        <f>GlowNestSocialTable[[#This Row],[Link Clicks]]/GlowNestSocialTable[[#This Row],[Reach]]</f>
        <v>1.2129538763493621E-2</v>
      </c>
    </row>
    <row r="66" spans="1:19">
      <c r="A66" t="s">
        <v>98</v>
      </c>
      <c r="B66" s="2">
        <v>45694</v>
      </c>
      <c r="C66" t="s">
        <v>33</v>
      </c>
      <c r="D66" t="s">
        <v>34</v>
      </c>
      <c r="E66" t="s">
        <v>27</v>
      </c>
      <c r="F66" t="s">
        <v>22</v>
      </c>
      <c r="G66" t="s">
        <v>23</v>
      </c>
      <c r="H66" s="3">
        <v>30589</v>
      </c>
      <c r="I66" s="3">
        <v>8532</v>
      </c>
      <c r="J66" s="3">
        <v>5564</v>
      </c>
      <c r="K66" s="3">
        <v>109</v>
      </c>
      <c r="L66" s="3">
        <v>21</v>
      </c>
      <c r="M66" s="3">
        <v>13</v>
      </c>
      <c r="N66" s="3">
        <v>24</v>
      </c>
      <c r="O66" s="3">
        <v>98</v>
      </c>
      <c r="P66" s="3"/>
      <c r="Q66" s="3">
        <v>167</v>
      </c>
      <c r="R66" s="4">
        <v>3</v>
      </c>
      <c r="S66" s="6">
        <f>GlowNestSocialTable[[#This Row],[Link Clicks]]/GlowNestSocialTable[[#This Row],[Reach]]</f>
        <v>1.7613227893601726E-2</v>
      </c>
    </row>
    <row r="67" spans="1:19">
      <c r="A67" t="s">
        <v>99</v>
      </c>
      <c r="B67" s="2">
        <v>45695</v>
      </c>
      <c r="C67" t="s">
        <v>36</v>
      </c>
      <c r="D67" t="s">
        <v>30</v>
      </c>
      <c r="E67" t="s">
        <v>25</v>
      </c>
      <c r="F67" t="s">
        <v>22</v>
      </c>
      <c r="G67" t="s">
        <v>38</v>
      </c>
      <c r="H67" s="3">
        <v>83727</v>
      </c>
      <c r="I67" s="3">
        <v>65331</v>
      </c>
      <c r="J67" s="3">
        <v>53762</v>
      </c>
      <c r="K67" s="3">
        <v>352</v>
      </c>
      <c r="L67" s="3">
        <v>40</v>
      </c>
      <c r="M67" s="3">
        <v>38</v>
      </c>
      <c r="N67" s="3">
        <v>56</v>
      </c>
      <c r="O67" s="3">
        <v>153</v>
      </c>
      <c r="P67" s="3"/>
      <c r="Q67" s="3">
        <v>486</v>
      </c>
      <c r="R67" s="4">
        <v>0.9</v>
      </c>
      <c r="S67" s="6">
        <f>GlowNestSocialTable[[#This Row],[Link Clicks]]/GlowNestSocialTable[[#This Row],[Reach]]</f>
        <v>2.8458762694840221E-3</v>
      </c>
    </row>
    <row r="68" spans="1:19">
      <c r="A68" t="s">
        <v>100</v>
      </c>
      <c r="B68" s="2">
        <v>45695</v>
      </c>
      <c r="C68" t="s">
        <v>36</v>
      </c>
      <c r="D68" t="s">
        <v>37</v>
      </c>
      <c r="E68" t="s">
        <v>49</v>
      </c>
      <c r="F68" t="s">
        <v>22</v>
      </c>
      <c r="G68" t="s">
        <v>23</v>
      </c>
      <c r="H68" s="3">
        <v>82355</v>
      </c>
      <c r="I68" s="3">
        <v>57848</v>
      </c>
      <c r="J68" s="3">
        <v>38726</v>
      </c>
      <c r="K68" s="3">
        <v>825</v>
      </c>
      <c r="L68" s="3">
        <v>122</v>
      </c>
      <c r="M68" s="3">
        <v>124</v>
      </c>
      <c r="N68" s="3">
        <v>163</v>
      </c>
      <c r="O68" s="3">
        <v>140</v>
      </c>
      <c r="P68" s="3"/>
      <c r="Q68" s="3">
        <v>1234</v>
      </c>
      <c r="R68" s="4">
        <v>3.19</v>
      </c>
      <c r="S68" s="6">
        <f>GlowNestSocialTable[[#This Row],[Link Clicks]]/GlowNestSocialTable[[#This Row],[Reach]]</f>
        <v>3.6151422816712285E-3</v>
      </c>
    </row>
    <row r="69" spans="1:19">
      <c r="A69" t="s">
        <v>101</v>
      </c>
      <c r="B69" s="2">
        <v>45696</v>
      </c>
      <c r="C69" t="s">
        <v>33</v>
      </c>
      <c r="D69" t="s">
        <v>37</v>
      </c>
      <c r="E69" t="s">
        <v>46</v>
      </c>
      <c r="F69" t="s">
        <v>22</v>
      </c>
      <c r="G69" t="s">
        <v>23</v>
      </c>
      <c r="H69" s="3">
        <v>32535</v>
      </c>
      <c r="I69" s="3">
        <v>12187</v>
      </c>
      <c r="J69" s="3">
        <v>9053</v>
      </c>
      <c r="K69" s="3">
        <v>332</v>
      </c>
      <c r="L69" s="3">
        <v>34</v>
      </c>
      <c r="M69" s="3">
        <v>53</v>
      </c>
      <c r="N69" s="3">
        <v>33</v>
      </c>
      <c r="O69" s="3">
        <v>169</v>
      </c>
      <c r="P69" s="3"/>
      <c r="Q69" s="3">
        <v>452</v>
      </c>
      <c r="R69" s="4">
        <v>4.99</v>
      </c>
      <c r="S69" s="6">
        <f>GlowNestSocialTable[[#This Row],[Link Clicks]]/GlowNestSocialTable[[#This Row],[Reach]]</f>
        <v>1.8667844913288413E-2</v>
      </c>
    </row>
    <row r="70" spans="1:19">
      <c r="A70" t="s">
        <v>102</v>
      </c>
      <c r="B70" s="2">
        <v>45696</v>
      </c>
      <c r="C70" t="s">
        <v>19</v>
      </c>
      <c r="D70" t="s">
        <v>37</v>
      </c>
      <c r="E70" t="s">
        <v>25</v>
      </c>
      <c r="F70" t="s">
        <v>31</v>
      </c>
      <c r="G70" t="s">
        <v>23</v>
      </c>
      <c r="H70" s="3">
        <v>70377</v>
      </c>
      <c r="I70" s="3">
        <v>47417</v>
      </c>
      <c r="J70" s="3">
        <v>31054</v>
      </c>
      <c r="K70" s="3">
        <v>833</v>
      </c>
      <c r="L70" s="3">
        <v>90</v>
      </c>
      <c r="M70" s="3">
        <v>92</v>
      </c>
      <c r="N70" s="3">
        <v>165</v>
      </c>
      <c r="O70" s="3">
        <v>206</v>
      </c>
      <c r="P70" s="3"/>
      <c r="Q70" s="3">
        <v>1180</v>
      </c>
      <c r="R70" s="4">
        <v>3.8</v>
      </c>
      <c r="S70" s="6">
        <f>GlowNestSocialTable[[#This Row],[Link Clicks]]/GlowNestSocialTable[[#This Row],[Reach]]</f>
        <v>6.6336059766857729E-3</v>
      </c>
    </row>
    <row r="71" spans="1:19">
      <c r="A71" t="s">
        <v>103</v>
      </c>
      <c r="B71" s="2">
        <v>45697</v>
      </c>
      <c r="C71" t="s">
        <v>36</v>
      </c>
      <c r="D71" t="s">
        <v>20</v>
      </c>
      <c r="E71" t="s">
        <v>46</v>
      </c>
      <c r="F71" t="s">
        <v>28</v>
      </c>
      <c r="G71" t="s">
        <v>23</v>
      </c>
      <c r="H71" s="3">
        <v>83313</v>
      </c>
      <c r="I71" s="3">
        <v>60721</v>
      </c>
      <c r="J71" s="3">
        <v>42927</v>
      </c>
      <c r="K71" s="3">
        <v>918</v>
      </c>
      <c r="L71" s="3">
        <v>94</v>
      </c>
      <c r="M71" s="3">
        <v>131</v>
      </c>
      <c r="N71" s="3">
        <v>174</v>
      </c>
      <c r="O71" s="3">
        <v>246</v>
      </c>
      <c r="P71" s="3">
        <v>24801</v>
      </c>
      <c r="Q71" s="3">
        <v>1317</v>
      </c>
      <c r="R71" s="4">
        <v>3.07</v>
      </c>
      <c r="S71" s="6">
        <f>GlowNestSocialTable[[#This Row],[Link Clicks]]/GlowNestSocialTable[[#This Row],[Reach]]</f>
        <v>5.7306590257879654E-3</v>
      </c>
    </row>
    <row r="72" spans="1:19">
      <c r="A72" t="s">
        <v>104</v>
      </c>
      <c r="B72" s="2">
        <v>45698</v>
      </c>
      <c r="C72" t="s">
        <v>19</v>
      </c>
      <c r="D72" t="s">
        <v>37</v>
      </c>
      <c r="E72" t="s">
        <v>49</v>
      </c>
      <c r="F72" t="s">
        <v>42</v>
      </c>
      <c r="G72" t="s">
        <v>23</v>
      </c>
      <c r="H72" s="3">
        <v>68880</v>
      </c>
      <c r="I72" s="3">
        <v>31509</v>
      </c>
      <c r="J72" s="3">
        <v>27729</v>
      </c>
      <c r="K72" s="3">
        <v>1453</v>
      </c>
      <c r="L72" s="3">
        <v>248</v>
      </c>
      <c r="M72" s="3">
        <v>162</v>
      </c>
      <c r="N72" s="3">
        <v>94</v>
      </c>
      <c r="O72" s="3">
        <v>252</v>
      </c>
      <c r="P72" s="3"/>
      <c r="Q72" s="3">
        <v>1957</v>
      </c>
      <c r="R72" s="4">
        <v>7.06</v>
      </c>
      <c r="S72" s="6">
        <f>GlowNestSocialTable[[#This Row],[Link Clicks]]/GlowNestSocialTable[[#This Row],[Reach]]</f>
        <v>9.0879584550470627E-3</v>
      </c>
    </row>
    <row r="73" spans="1:19">
      <c r="A73" t="s">
        <v>105</v>
      </c>
      <c r="B73" s="2">
        <v>45698</v>
      </c>
      <c r="C73" t="s">
        <v>33</v>
      </c>
      <c r="D73" t="s">
        <v>20</v>
      </c>
      <c r="E73" t="s">
        <v>46</v>
      </c>
      <c r="F73" t="s">
        <v>22</v>
      </c>
      <c r="G73" t="s">
        <v>23</v>
      </c>
      <c r="H73" s="3">
        <v>33728</v>
      </c>
      <c r="I73" s="3">
        <v>13048</v>
      </c>
      <c r="J73" s="3">
        <v>10004</v>
      </c>
      <c r="K73" s="3">
        <v>327</v>
      </c>
      <c r="L73" s="3">
        <v>62</v>
      </c>
      <c r="M73" s="3">
        <v>49</v>
      </c>
      <c r="N73" s="3">
        <v>67</v>
      </c>
      <c r="O73" s="3">
        <v>169</v>
      </c>
      <c r="P73" s="3">
        <v>7005</v>
      </c>
      <c r="Q73" s="3">
        <v>505</v>
      </c>
      <c r="R73" s="4">
        <v>5.05</v>
      </c>
      <c r="S73" s="6">
        <f>GlowNestSocialTable[[#This Row],[Link Clicks]]/GlowNestSocialTable[[#This Row],[Reach]]</f>
        <v>1.6893242702918834E-2</v>
      </c>
    </row>
    <row r="74" spans="1:19">
      <c r="A74" t="s">
        <v>106</v>
      </c>
      <c r="B74" s="2">
        <v>45699</v>
      </c>
      <c r="C74" t="s">
        <v>19</v>
      </c>
      <c r="D74" t="s">
        <v>30</v>
      </c>
      <c r="E74" t="s">
        <v>49</v>
      </c>
      <c r="F74" t="s">
        <v>22</v>
      </c>
      <c r="G74" t="s">
        <v>23</v>
      </c>
      <c r="H74" s="3">
        <v>67516</v>
      </c>
      <c r="I74" s="3">
        <v>32175</v>
      </c>
      <c r="J74" s="3">
        <v>21342</v>
      </c>
      <c r="K74" s="3">
        <v>601</v>
      </c>
      <c r="L74" s="3">
        <v>78</v>
      </c>
      <c r="M74" s="3">
        <v>90</v>
      </c>
      <c r="N74" s="3">
        <v>68</v>
      </c>
      <c r="O74" s="3">
        <v>171</v>
      </c>
      <c r="P74" s="3"/>
      <c r="Q74" s="3">
        <v>837</v>
      </c>
      <c r="R74" s="4">
        <v>3.92</v>
      </c>
      <c r="S74" s="6">
        <f>GlowNestSocialTable[[#This Row],[Link Clicks]]/GlowNestSocialTable[[#This Row],[Reach]]</f>
        <v>8.0123699746977792E-3</v>
      </c>
    </row>
    <row r="75" spans="1:19">
      <c r="A75" t="s">
        <v>107</v>
      </c>
      <c r="B75" s="2">
        <v>45699</v>
      </c>
      <c r="C75" t="s">
        <v>36</v>
      </c>
      <c r="D75" t="s">
        <v>34</v>
      </c>
      <c r="E75" t="s">
        <v>25</v>
      </c>
      <c r="F75" t="s">
        <v>31</v>
      </c>
      <c r="G75" t="s">
        <v>23</v>
      </c>
      <c r="H75" s="3">
        <v>83424</v>
      </c>
      <c r="I75" s="3">
        <v>43373</v>
      </c>
      <c r="J75" s="3">
        <v>28715</v>
      </c>
      <c r="K75" s="3">
        <v>281</v>
      </c>
      <c r="L75" s="3">
        <v>31</v>
      </c>
      <c r="M75" s="3">
        <v>43</v>
      </c>
      <c r="N75" s="3">
        <v>11</v>
      </c>
      <c r="O75" s="3">
        <v>133</v>
      </c>
      <c r="P75" s="3"/>
      <c r="Q75" s="3">
        <v>366</v>
      </c>
      <c r="R75" s="4">
        <v>1.27</v>
      </c>
      <c r="S75" s="6">
        <f>GlowNestSocialTable[[#This Row],[Link Clicks]]/GlowNestSocialTable[[#This Row],[Reach]]</f>
        <v>4.6317255789656972E-3</v>
      </c>
    </row>
    <row r="76" spans="1:19">
      <c r="A76" t="s">
        <v>108</v>
      </c>
      <c r="B76" s="2">
        <v>45700</v>
      </c>
      <c r="C76" t="s">
        <v>33</v>
      </c>
      <c r="D76" t="s">
        <v>34</v>
      </c>
      <c r="E76" t="s">
        <v>46</v>
      </c>
      <c r="F76" t="s">
        <v>28</v>
      </c>
      <c r="G76" t="s">
        <v>23</v>
      </c>
      <c r="H76" s="3">
        <v>31814</v>
      </c>
      <c r="I76" s="3">
        <v>8340</v>
      </c>
      <c r="J76" s="3">
        <v>6641</v>
      </c>
      <c r="K76" s="3">
        <v>133</v>
      </c>
      <c r="L76" s="3">
        <v>26</v>
      </c>
      <c r="M76" s="3">
        <v>18</v>
      </c>
      <c r="N76" s="3">
        <v>18</v>
      </c>
      <c r="O76" s="3">
        <v>106</v>
      </c>
      <c r="P76" s="3"/>
      <c r="Q76" s="3">
        <v>195</v>
      </c>
      <c r="R76" s="4">
        <v>2.94</v>
      </c>
      <c r="S76" s="6">
        <f>GlowNestSocialTable[[#This Row],[Link Clicks]]/GlowNestSocialTable[[#This Row],[Reach]]</f>
        <v>1.5961451588616171E-2</v>
      </c>
    </row>
    <row r="77" spans="1:19">
      <c r="A77" t="s">
        <v>109</v>
      </c>
      <c r="B77" s="2">
        <v>45701</v>
      </c>
      <c r="C77" t="s">
        <v>33</v>
      </c>
      <c r="D77" t="s">
        <v>37</v>
      </c>
      <c r="E77" t="s">
        <v>27</v>
      </c>
      <c r="F77" t="s">
        <v>44</v>
      </c>
      <c r="G77" t="s">
        <v>38</v>
      </c>
      <c r="H77" s="3">
        <v>30128</v>
      </c>
      <c r="I77" s="3">
        <v>20181</v>
      </c>
      <c r="J77" s="3">
        <v>13842</v>
      </c>
      <c r="K77" s="3">
        <v>596</v>
      </c>
      <c r="L77" s="3">
        <v>93</v>
      </c>
      <c r="M77" s="3">
        <v>49</v>
      </c>
      <c r="N77" s="3">
        <v>79</v>
      </c>
      <c r="O77" s="3">
        <v>270</v>
      </c>
      <c r="P77" s="3"/>
      <c r="Q77" s="3">
        <v>817</v>
      </c>
      <c r="R77" s="4">
        <v>5.9</v>
      </c>
      <c r="S77" s="6">
        <f>GlowNestSocialTable[[#This Row],[Link Clicks]]/GlowNestSocialTable[[#This Row],[Reach]]</f>
        <v>1.950585175552666E-2</v>
      </c>
    </row>
    <row r="78" spans="1:19">
      <c r="A78" t="s">
        <v>110</v>
      </c>
      <c r="B78" s="2">
        <v>45701</v>
      </c>
      <c r="C78" t="s">
        <v>19</v>
      </c>
      <c r="D78" t="s">
        <v>37</v>
      </c>
      <c r="E78" t="s">
        <v>27</v>
      </c>
      <c r="F78" t="s">
        <v>22</v>
      </c>
      <c r="G78" t="s">
        <v>23</v>
      </c>
      <c r="H78" s="3">
        <v>69864</v>
      </c>
      <c r="I78" s="3">
        <v>43399</v>
      </c>
      <c r="J78" s="3">
        <v>29758</v>
      </c>
      <c r="K78" s="3">
        <v>1541</v>
      </c>
      <c r="L78" s="3">
        <v>192</v>
      </c>
      <c r="M78" s="3">
        <v>226</v>
      </c>
      <c r="N78" s="3">
        <v>294</v>
      </c>
      <c r="O78" s="3">
        <v>441</v>
      </c>
      <c r="P78" s="3"/>
      <c r="Q78" s="3">
        <v>2253</v>
      </c>
      <c r="R78" s="4">
        <v>7.57</v>
      </c>
      <c r="S78" s="6">
        <f>GlowNestSocialTable[[#This Row],[Link Clicks]]/GlowNestSocialTable[[#This Row],[Reach]]</f>
        <v>1.4819544324215337E-2</v>
      </c>
    </row>
    <row r="79" spans="1:19">
      <c r="A79" t="s">
        <v>111</v>
      </c>
      <c r="B79" s="2">
        <v>45702</v>
      </c>
      <c r="C79" t="s">
        <v>19</v>
      </c>
      <c r="D79" t="s">
        <v>37</v>
      </c>
      <c r="E79" t="s">
        <v>49</v>
      </c>
      <c r="F79" t="s">
        <v>31</v>
      </c>
      <c r="G79" t="s">
        <v>23</v>
      </c>
      <c r="H79" s="3">
        <v>67637</v>
      </c>
      <c r="I79" s="3">
        <v>41906</v>
      </c>
      <c r="J79" s="3">
        <v>27205</v>
      </c>
      <c r="K79" s="3">
        <v>1259</v>
      </c>
      <c r="L79" s="3">
        <v>232</v>
      </c>
      <c r="M79" s="3">
        <v>130</v>
      </c>
      <c r="N79" s="3">
        <v>331</v>
      </c>
      <c r="O79" s="3">
        <v>252</v>
      </c>
      <c r="P79" s="3"/>
      <c r="Q79" s="3">
        <v>1952</v>
      </c>
      <c r="R79" s="4">
        <v>7.18</v>
      </c>
      <c r="S79" s="6">
        <f>GlowNestSocialTable[[#This Row],[Link Clicks]]/GlowNestSocialTable[[#This Row],[Reach]]</f>
        <v>9.2630031244256578E-3</v>
      </c>
    </row>
    <row r="80" spans="1:19">
      <c r="A80" t="s">
        <v>112</v>
      </c>
      <c r="B80" s="2">
        <v>45702</v>
      </c>
      <c r="C80" t="s">
        <v>19</v>
      </c>
      <c r="D80" t="s">
        <v>20</v>
      </c>
      <c r="E80" t="s">
        <v>25</v>
      </c>
      <c r="F80" t="s">
        <v>31</v>
      </c>
      <c r="G80" t="s">
        <v>23</v>
      </c>
      <c r="H80" s="3">
        <v>67389</v>
      </c>
      <c r="I80" s="3">
        <v>49954</v>
      </c>
      <c r="J80" s="3">
        <v>35777</v>
      </c>
      <c r="K80" s="3">
        <v>1556</v>
      </c>
      <c r="L80" s="3">
        <v>194</v>
      </c>
      <c r="M80" s="3">
        <v>179</v>
      </c>
      <c r="N80" s="3">
        <v>163</v>
      </c>
      <c r="O80" s="3">
        <v>249</v>
      </c>
      <c r="P80" s="3">
        <v>27126</v>
      </c>
      <c r="Q80" s="3">
        <v>2092</v>
      </c>
      <c r="R80" s="4">
        <v>5.85</v>
      </c>
      <c r="S80" s="6">
        <f>GlowNestSocialTable[[#This Row],[Link Clicks]]/GlowNestSocialTable[[#This Row],[Reach]]</f>
        <v>6.959778628727954E-3</v>
      </c>
    </row>
    <row r="81" spans="1:19">
      <c r="A81" t="s">
        <v>113</v>
      </c>
      <c r="B81" s="2">
        <v>45703</v>
      </c>
      <c r="C81" t="s">
        <v>19</v>
      </c>
      <c r="D81" t="s">
        <v>20</v>
      </c>
      <c r="E81" t="s">
        <v>25</v>
      </c>
      <c r="F81" t="s">
        <v>42</v>
      </c>
      <c r="G81" t="s">
        <v>23</v>
      </c>
      <c r="H81" s="3">
        <v>70660</v>
      </c>
      <c r="I81" s="3">
        <v>56243</v>
      </c>
      <c r="J81" s="3">
        <v>36437</v>
      </c>
      <c r="K81" s="3">
        <v>1541</v>
      </c>
      <c r="L81" s="3">
        <v>212</v>
      </c>
      <c r="M81" s="3">
        <v>163</v>
      </c>
      <c r="N81" s="3">
        <v>214</v>
      </c>
      <c r="O81" s="3">
        <v>360</v>
      </c>
      <c r="P81" s="3">
        <v>20854</v>
      </c>
      <c r="Q81" s="3">
        <v>2130</v>
      </c>
      <c r="R81" s="4">
        <v>5.85</v>
      </c>
      <c r="S81" s="6">
        <f>GlowNestSocialTable[[#This Row],[Link Clicks]]/GlowNestSocialTable[[#This Row],[Reach]]</f>
        <v>9.8800669648983173E-3</v>
      </c>
    </row>
    <row r="82" spans="1:19">
      <c r="A82" t="s">
        <v>114</v>
      </c>
      <c r="B82" s="2">
        <v>45704</v>
      </c>
      <c r="C82" t="s">
        <v>19</v>
      </c>
      <c r="D82" t="s">
        <v>37</v>
      </c>
      <c r="E82" t="s">
        <v>49</v>
      </c>
      <c r="F82" t="s">
        <v>44</v>
      </c>
      <c r="G82" t="s">
        <v>23</v>
      </c>
      <c r="H82" s="3">
        <v>68624</v>
      </c>
      <c r="I82" s="3">
        <v>26876</v>
      </c>
      <c r="J82" s="3">
        <v>24048</v>
      </c>
      <c r="K82" s="3">
        <v>1117</v>
      </c>
      <c r="L82" s="3">
        <v>152</v>
      </c>
      <c r="M82" s="3">
        <v>199</v>
      </c>
      <c r="N82" s="3">
        <v>338</v>
      </c>
      <c r="O82" s="3">
        <v>234</v>
      </c>
      <c r="P82" s="3"/>
      <c r="Q82" s="3">
        <v>1806</v>
      </c>
      <c r="R82" s="4">
        <v>7.51</v>
      </c>
      <c r="S82" s="6">
        <f>GlowNestSocialTable[[#This Row],[Link Clicks]]/GlowNestSocialTable[[#This Row],[Reach]]</f>
        <v>9.730538922155689E-3</v>
      </c>
    </row>
    <row r="83" spans="1:19">
      <c r="A83" t="s">
        <v>115</v>
      </c>
      <c r="B83" s="2">
        <v>45704</v>
      </c>
      <c r="C83" t="s">
        <v>36</v>
      </c>
      <c r="D83" t="s">
        <v>30</v>
      </c>
      <c r="E83" t="s">
        <v>49</v>
      </c>
      <c r="F83" t="s">
        <v>44</v>
      </c>
      <c r="G83" t="s">
        <v>23</v>
      </c>
      <c r="H83" s="3">
        <v>82011</v>
      </c>
      <c r="I83" s="3">
        <v>50783</v>
      </c>
      <c r="J83" s="3">
        <v>34024</v>
      </c>
      <c r="K83" s="3">
        <v>508</v>
      </c>
      <c r="L83" s="3">
        <v>85</v>
      </c>
      <c r="M83" s="3">
        <v>56</v>
      </c>
      <c r="N83" s="3"/>
      <c r="O83" s="3">
        <v>130</v>
      </c>
      <c r="P83" s="3"/>
      <c r="Q83" s="3">
        <v>726</v>
      </c>
      <c r="R83" s="4">
        <v>2.13</v>
      </c>
      <c r="S83" s="6">
        <f>GlowNestSocialTable[[#This Row],[Link Clicks]]/GlowNestSocialTable[[#This Row],[Reach]]</f>
        <v>3.82083235363273E-3</v>
      </c>
    </row>
    <row r="84" spans="1:19">
      <c r="A84" t="s">
        <v>116</v>
      </c>
      <c r="B84" s="2">
        <v>45705</v>
      </c>
      <c r="C84" t="s">
        <v>36</v>
      </c>
      <c r="D84" t="s">
        <v>20</v>
      </c>
      <c r="E84" t="s">
        <v>27</v>
      </c>
      <c r="F84" t="s">
        <v>42</v>
      </c>
      <c r="G84" t="s">
        <v>23</v>
      </c>
      <c r="H84" s="3">
        <v>82146</v>
      </c>
      <c r="I84" s="3">
        <v>76051</v>
      </c>
      <c r="J84" s="3">
        <v>61587</v>
      </c>
      <c r="K84" s="3">
        <v>1685</v>
      </c>
      <c r="L84" s="3">
        <v>261</v>
      </c>
      <c r="M84" s="3">
        <v>302</v>
      </c>
      <c r="N84" s="3">
        <v>788</v>
      </c>
      <c r="O84" s="3">
        <v>340</v>
      </c>
      <c r="P84" s="3">
        <v>50856</v>
      </c>
      <c r="Q84" s="3">
        <v>3036</v>
      </c>
      <c r="R84" s="4">
        <v>4.93</v>
      </c>
      <c r="S84" s="6">
        <f>GlowNestSocialTable[[#This Row],[Link Clicks]]/GlowNestSocialTable[[#This Row],[Reach]]</f>
        <v>5.5206455907902642E-3</v>
      </c>
    </row>
    <row r="85" spans="1:19">
      <c r="A85" t="s">
        <v>117</v>
      </c>
      <c r="B85" s="2">
        <v>45706</v>
      </c>
      <c r="C85" t="s">
        <v>19</v>
      </c>
      <c r="D85" t="s">
        <v>37</v>
      </c>
      <c r="E85" t="s">
        <v>25</v>
      </c>
      <c r="F85" t="s">
        <v>22</v>
      </c>
      <c r="G85" t="s">
        <v>23</v>
      </c>
      <c r="H85" s="3">
        <v>68727</v>
      </c>
      <c r="I85" s="3">
        <v>42618</v>
      </c>
      <c r="J85" s="3">
        <v>30307</v>
      </c>
      <c r="K85" s="3">
        <v>1045</v>
      </c>
      <c r="L85" s="3">
        <v>104</v>
      </c>
      <c r="M85" s="3">
        <v>93</v>
      </c>
      <c r="N85" s="3">
        <v>168</v>
      </c>
      <c r="O85" s="3">
        <v>298</v>
      </c>
      <c r="P85" s="3"/>
      <c r="Q85" s="3">
        <v>1410</v>
      </c>
      <c r="R85" s="4">
        <v>4.6500000000000004</v>
      </c>
      <c r="S85" s="6">
        <f>GlowNestSocialTable[[#This Row],[Link Clicks]]/GlowNestSocialTable[[#This Row],[Reach]]</f>
        <v>9.832711914739169E-3</v>
      </c>
    </row>
    <row r="86" spans="1:19">
      <c r="A86" t="s">
        <v>118</v>
      </c>
      <c r="B86" s="2">
        <v>45706</v>
      </c>
      <c r="C86" t="s">
        <v>36</v>
      </c>
      <c r="D86" t="s">
        <v>30</v>
      </c>
      <c r="E86" t="s">
        <v>27</v>
      </c>
      <c r="F86" t="s">
        <v>42</v>
      </c>
      <c r="G86" t="s">
        <v>23</v>
      </c>
      <c r="H86" s="3">
        <v>81270</v>
      </c>
      <c r="I86" s="3">
        <v>43013</v>
      </c>
      <c r="J86" s="3">
        <v>30711</v>
      </c>
      <c r="K86" s="3">
        <v>541</v>
      </c>
      <c r="L86" s="3">
        <v>90</v>
      </c>
      <c r="M86" s="3">
        <v>86</v>
      </c>
      <c r="N86" s="3">
        <v>88</v>
      </c>
      <c r="O86" s="3">
        <v>134</v>
      </c>
      <c r="P86" s="3"/>
      <c r="Q86" s="3">
        <v>805</v>
      </c>
      <c r="R86" s="4">
        <v>2.62</v>
      </c>
      <c r="S86" s="6">
        <f>GlowNestSocialTable[[#This Row],[Link Clicks]]/GlowNestSocialTable[[#This Row],[Reach]]</f>
        <v>4.363257464752043E-3</v>
      </c>
    </row>
    <row r="87" spans="1:19">
      <c r="A87" t="s">
        <v>119</v>
      </c>
      <c r="B87" s="2">
        <v>45707</v>
      </c>
      <c r="C87" t="s">
        <v>36</v>
      </c>
      <c r="D87" t="s">
        <v>34</v>
      </c>
      <c r="E87" t="s">
        <v>49</v>
      </c>
      <c r="F87" t="s">
        <v>28</v>
      </c>
      <c r="G87" t="s">
        <v>23</v>
      </c>
      <c r="H87" s="3">
        <v>84629</v>
      </c>
      <c r="I87" s="3">
        <v>31987</v>
      </c>
      <c r="J87" s="3">
        <v>24013</v>
      </c>
      <c r="K87" s="3">
        <v>269</v>
      </c>
      <c r="L87" s="3">
        <v>35</v>
      </c>
      <c r="M87" s="3">
        <v>30</v>
      </c>
      <c r="N87" s="3">
        <v>21</v>
      </c>
      <c r="O87" s="3">
        <v>128</v>
      </c>
      <c r="P87" s="3"/>
      <c r="Q87" s="3">
        <v>355</v>
      </c>
      <c r="R87" s="4">
        <v>1.48</v>
      </c>
      <c r="S87" s="6">
        <f>GlowNestSocialTable[[#This Row],[Link Clicks]]/GlowNestSocialTable[[#This Row],[Reach]]</f>
        <v>5.3304460084121104E-3</v>
      </c>
    </row>
    <row r="88" spans="1:19">
      <c r="A88" t="s">
        <v>120</v>
      </c>
      <c r="B88" s="2">
        <v>45707</v>
      </c>
      <c r="C88" t="s">
        <v>36</v>
      </c>
      <c r="D88" t="s">
        <v>30</v>
      </c>
      <c r="E88" t="s">
        <v>46</v>
      </c>
      <c r="F88" t="s">
        <v>42</v>
      </c>
      <c r="G88" t="s">
        <v>23</v>
      </c>
      <c r="H88" s="3">
        <v>84053</v>
      </c>
      <c r="I88" s="3">
        <v>47659</v>
      </c>
      <c r="J88" s="3">
        <v>35140</v>
      </c>
      <c r="K88" s="3">
        <v>334</v>
      </c>
      <c r="L88" s="3">
        <v>51</v>
      </c>
      <c r="M88" s="3">
        <v>51</v>
      </c>
      <c r="N88" s="3">
        <v>73</v>
      </c>
      <c r="O88" s="3">
        <v>214</v>
      </c>
      <c r="P88" s="3"/>
      <c r="Q88" s="3">
        <v>509</v>
      </c>
      <c r="R88" s="4">
        <v>1.45</v>
      </c>
      <c r="S88" s="6">
        <f>GlowNestSocialTable[[#This Row],[Link Clicks]]/GlowNestSocialTable[[#This Row],[Reach]]</f>
        <v>6.0899260102447355E-3</v>
      </c>
    </row>
    <row r="89" spans="1:19">
      <c r="A89" t="s">
        <v>121</v>
      </c>
      <c r="B89" s="2">
        <v>45708</v>
      </c>
      <c r="C89" t="s">
        <v>33</v>
      </c>
      <c r="D89" t="s">
        <v>20</v>
      </c>
      <c r="E89" t="s">
        <v>46</v>
      </c>
      <c r="F89" t="s">
        <v>28</v>
      </c>
      <c r="G89" t="s">
        <v>23</v>
      </c>
      <c r="H89" s="3">
        <v>32747</v>
      </c>
      <c r="I89" s="3">
        <v>9482</v>
      </c>
      <c r="J89" s="3">
        <v>8022</v>
      </c>
      <c r="K89" s="3">
        <v>277</v>
      </c>
      <c r="L89" s="3">
        <v>30</v>
      </c>
      <c r="M89" s="3">
        <v>28</v>
      </c>
      <c r="N89" s="3">
        <v>96</v>
      </c>
      <c r="O89" s="3">
        <v>128</v>
      </c>
      <c r="P89" s="3">
        <v>4498</v>
      </c>
      <c r="Q89" s="3">
        <v>431</v>
      </c>
      <c r="R89" s="4">
        <v>5.37</v>
      </c>
      <c r="S89" s="6">
        <f>GlowNestSocialTable[[#This Row],[Link Clicks]]/GlowNestSocialTable[[#This Row],[Reach]]</f>
        <v>1.5956120668162554E-2</v>
      </c>
    </row>
    <row r="90" spans="1:19">
      <c r="A90" t="s">
        <v>122</v>
      </c>
      <c r="B90" s="2">
        <v>45709</v>
      </c>
      <c r="C90" t="s">
        <v>19</v>
      </c>
      <c r="D90" t="s">
        <v>34</v>
      </c>
      <c r="E90" t="s">
        <v>27</v>
      </c>
      <c r="F90" t="s">
        <v>31</v>
      </c>
      <c r="G90" t="s">
        <v>23</v>
      </c>
      <c r="H90" s="3">
        <v>69951</v>
      </c>
      <c r="I90" s="3">
        <v>30217</v>
      </c>
      <c r="J90" s="3">
        <v>22384</v>
      </c>
      <c r="K90" s="3">
        <v>600</v>
      </c>
      <c r="L90" s="3">
        <v>95</v>
      </c>
      <c r="M90" s="3">
        <v>102</v>
      </c>
      <c r="N90" s="3">
        <v>124</v>
      </c>
      <c r="O90" s="3">
        <v>332</v>
      </c>
      <c r="P90" s="3"/>
      <c r="Q90" s="3">
        <v>921</v>
      </c>
      <c r="R90" s="4">
        <v>4.1100000000000003</v>
      </c>
      <c r="S90" s="6">
        <f>GlowNestSocialTable[[#This Row],[Link Clicks]]/GlowNestSocialTable[[#This Row],[Reach]]</f>
        <v>1.4832022873481059E-2</v>
      </c>
    </row>
    <row r="91" spans="1:19">
      <c r="A91" t="s">
        <v>123</v>
      </c>
      <c r="B91" s="2">
        <v>45709</v>
      </c>
      <c r="C91" t="s">
        <v>19</v>
      </c>
      <c r="D91" t="s">
        <v>37</v>
      </c>
      <c r="E91" t="s">
        <v>27</v>
      </c>
      <c r="F91" t="s">
        <v>22</v>
      </c>
      <c r="G91" t="s">
        <v>38</v>
      </c>
      <c r="H91" s="3">
        <v>68021</v>
      </c>
      <c r="I91" s="3">
        <v>60792</v>
      </c>
      <c r="J91" s="3">
        <v>45847</v>
      </c>
      <c r="K91" s="3">
        <v>1873</v>
      </c>
      <c r="L91" s="3">
        <v>249</v>
      </c>
      <c r="M91" s="3">
        <v>307</v>
      </c>
      <c r="N91" s="3">
        <v>746</v>
      </c>
      <c r="O91" s="3">
        <v>710</v>
      </c>
      <c r="P91" s="3"/>
      <c r="Q91" s="3">
        <v>3175</v>
      </c>
      <c r="R91" s="4">
        <v>6.93</v>
      </c>
      <c r="S91" s="6">
        <f>GlowNestSocialTable[[#This Row],[Link Clicks]]/GlowNestSocialTable[[#This Row],[Reach]]</f>
        <v>1.5486291360394356E-2</v>
      </c>
    </row>
    <row r="92" spans="1:19">
      <c r="A92" t="s">
        <v>124</v>
      </c>
      <c r="B92" s="2">
        <v>45710</v>
      </c>
      <c r="C92" t="s">
        <v>36</v>
      </c>
      <c r="D92" t="s">
        <v>37</v>
      </c>
      <c r="E92" t="s">
        <v>25</v>
      </c>
      <c r="F92" t="s">
        <v>42</v>
      </c>
      <c r="G92" t="s">
        <v>23</v>
      </c>
      <c r="H92" s="3">
        <v>83712</v>
      </c>
      <c r="I92" s="3">
        <v>49044</v>
      </c>
      <c r="J92" s="3">
        <v>43911</v>
      </c>
      <c r="K92" s="3">
        <v>564</v>
      </c>
      <c r="L92" s="3">
        <v>84</v>
      </c>
      <c r="M92" s="3">
        <v>86</v>
      </c>
      <c r="N92" s="3">
        <v>7</v>
      </c>
      <c r="O92" s="3">
        <v>134</v>
      </c>
      <c r="P92" s="3"/>
      <c r="Q92" s="3">
        <v>741</v>
      </c>
      <c r="R92" s="4">
        <v>1.69</v>
      </c>
      <c r="S92" s="6">
        <f>GlowNestSocialTable[[#This Row],[Link Clicks]]/GlowNestSocialTable[[#This Row],[Reach]]</f>
        <v>3.0516271549270117E-3</v>
      </c>
    </row>
    <row r="93" spans="1:19">
      <c r="A93" t="s">
        <v>125</v>
      </c>
      <c r="B93" s="2">
        <v>45710</v>
      </c>
      <c r="C93" t="s">
        <v>19</v>
      </c>
      <c r="D93" t="s">
        <v>30</v>
      </c>
      <c r="E93" t="s">
        <v>46</v>
      </c>
      <c r="F93" t="s">
        <v>28</v>
      </c>
      <c r="G93" t="s">
        <v>23</v>
      </c>
      <c r="H93" s="3">
        <v>72594</v>
      </c>
      <c r="I93" s="3">
        <v>18898</v>
      </c>
      <c r="J93" s="3">
        <v>15994</v>
      </c>
      <c r="K93" s="3">
        <v>535</v>
      </c>
      <c r="L93" s="3">
        <v>56</v>
      </c>
      <c r="M93" s="3">
        <v>69</v>
      </c>
      <c r="N93" s="3">
        <v>80</v>
      </c>
      <c r="O93" s="3">
        <v>207</v>
      </c>
      <c r="P93" s="3"/>
      <c r="Q93" s="3">
        <v>740</v>
      </c>
      <c r="R93" s="4">
        <v>4.63</v>
      </c>
      <c r="S93" s="6">
        <f>GlowNestSocialTable[[#This Row],[Link Clicks]]/GlowNestSocialTable[[#This Row],[Reach]]</f>
        <v>1.2942353382518444E-2</v>
      </c>
    </row>
    <row r="94" spans="1:19">
      <c r="A94" t="s">
        <v>126</v>
      </c>
      <c r="B94" s="2">
        <v>45711</v>
      </c>
      <c r="C94" t="s">
        <v>19</v>
      </c>
      <c r="D94" t="s">
        <v>34</v>
      </c>
      <c r="E94" t="s">
        <v>25</v>
      </c>
      <c r="F94" t="s">
        <v>44</v>
      </c>
      <c r="G94" t="s">
        <v>23</v>
      </c>
      <c r="H94" s="3">
        <v>70379</v>
      </c>
      <c r="I94" s="3">
        <v>21326</v>
      </c>
      <c r="J94" s="3">
        <v>15417</v>
      </c>
      <c r="K94" s="3">
        <v>325</v>
      </c>
      <c r="L94" s="3">
        <v>38</v>
      </c>
      <c r="M94" s="3">
        <v>35</v>
      </c>
      <c r="N94" s="3">
        <v>46</v>
      </c>
      <c r="O94" s="3">
        <v>119</v>
      </c>
      <c r="P94" s="3"/>
      <c r="Q94" s="3">
        <v>444</v>
      </c>
      <c r="R94" s="4">
        <v>2.88</v>
      </c>
      <c r="S94" s="6">
        <f>GlowNestSocialTable[[#This Row],[Link Clicks]]/GlowNestSocialTable[[#This Row],[Reach]]</f>
        <v>7.7187520269832001E-3</v>
      </c>
    </row>
    <row r="95" spans="1:19">
      <c r="A95" t="s">
        <v>127</v>
      </c>
      <c r="B95" s="2">
        <v>45712</v>
      </c>
      <c r="C95" t="s">
        <v>36</v>
      </c>
      <c r="D95" t="s">
        <v>37</v>
      </c>
      <c r="E95" t="s">
        <v>21</v>
      </c>
      <c r="F95" t="s">
        <v>28</v>
      </c>
      <c r="G95" t="s">
        <v>23</v>
      </c>
      <c r="H95" s="3">
        <v>82078</v>
      </c>
      <c r="I95" s="3">
        <v>38529</v>
      </c>
      <c r="J95" s="3">
        <v>27679</v>
      </c>
      <c r="K95" s="3">
        <v>439</v>
      </c>
      <c r="L95" s="3">
        <v>69</v>
      </c>
      <c r="M95" s="3">
        <v>69</v>
      </c>
      <c r="N95" s="3">
        <v>7</v>
      </c>
      <c r="O95" s="3">
        <v>109</v>
      </c>
      <c r="P95" s="3"/>
      <c r="Q95" s="3">
        <v>584</v>
      </c>
      <c r="R95" s="4">
        <v>2.11</v>
      </c>
      <c r="S95" s="6">
        <f>GlowNestSocialTable[[#This Row],[Link Clicks]]/GlowNestSocialTable[[#This Row],[Reach]]</f>
        <v>3.9380035405903397E-3</v>
      </c>
    </row>
    <row r="96" spans="1:19">
      <c r="A96" t="s">
        <v>128</v>
      </c>
      <c r="B96" s="2">
        <v>45712</v>
      </c>
      <c r="C96" t="s">
        <v>36</v>
      </c>
      <c r="D96" t="s">
        <v>34</v>
      </c>
      <c r="E96" t="s">
        <v>27</v>
      </c>
      <c r="F96" t="s">
        <v>28</v>
      </c>
      <c r="G96" t="s">
        <v>23</v>
      </c>
      <c r="H96" s="3">
        <v>82620</v>
      </c>
      <c r="I96" s="3">
        <v>41568</v>
      </c>
      <c r="J96" s="3">
        <v>29100</v>
      </c>
      <c r="K96" s="3">
        <v>535</v>
      </c>
      <c r="L96" s="3">
        <v>75</v>
      </c>
      <c r="M96" s="3">
        <v>53</v>
      </c>
      <c r="N96" s="3">
        <v>85</v>
      </c>
      <c r="O96" s="3">
        <v>199</v>
      </c>
      <c r="P96" s="3"/>
      <c r="Q96" s="3">
        <v>748</v>
      </c>
      <c r="R96" s="4">
        <v>2.57</v>
      </c>
      <c r="S96" s="6">
        <f>GlowNestSocialTable[[#This Row],[Link Clicks]]/GlowNestSocialTable[[#This Row],[Reach]]</f>
        <v>6.8384879725085909E-3</v>
      </c>
    </row>
    <row r="97" spans="1:19">
      <c r="A97" t="s">
        <v>129</v>
      </c>
      <c r="B97" s="2">
        <v>45713</v>
      </c>
      <c r="C97" t="s">
        <v>36</v>
      </c>
      <c r="D97" t="s">
        <v>34</v>
      </c>
      <c r="E97" t="s">
        <v>25</v>
      </c>
      <c r="F97" t="s">
        <v>22</v>
      </c>
      <c r="G97" t="s">
        <v>23</v>
      </c>
      <c r="H97" s="3">
        <v>82252</v>
      </c>
      <c r="I97" s="3">
        <v>50698</v>
      </c>
      <c r="J97" s="3">
        <v>36720</v>
      </c>
      <c r="K97" s="3">
        <v>338</v>
      </c>
      <c r="L97" s="3">
        <v>42</v>
      </c>
      <c r="M97" s="3">
        <v>31</v>
      </c>
      <c r="N97" s="3">
        <v>38</v>
      </c>
      <c r="O97" s="3">
        <v>118</v>
      </c>
      <c r="P97" s="3"/>
      <c r="Q97" s="3">
        <v>449</v>
      </c>
      <c r="R97" s="4">
        <v>1.22</v>
      </c>
      <c r="S97" s="6">
        <f>GlowNestSocialTable[[#This Row],[Link Clicks]]/GlowNestSocialTable[[#This Row],[Reach]]</f>
        <v>3.2135076252723313E-3</v>
      </c>
    </row>
    <row r="98" spans="1:19">
      <c r="A98" t="s">
        <v>130</v>
      </c>
      <c r="B98" s="2">
        <v>45713</v>
      </c>
      <c r="C98" t="s">
        <v>19</v>
      </c>
      <c r="D98" t="s">
        <v>20</v>
      </c>
      <c r="E98" t="s">
        <v>21</v>
      </c>
      <c r="F98" t="s">
        <v>44</v>
      </c>
      <c r="G98" t="s">
        <v>23</v>
      </c>
      <c r="H98" s="3">
        <v>69079</v>
      </c>
      <c r="I98" s="3">
        <v>37951</v>
      </c>
      <c r="J98" s="3">
        <v>24601</v>
      </c>
      <c r="K98" s="3">
        <v>1477</v>
      </c>
      <c r="L98" s="3">
        <v>162</v>
      </c>
      <c r="M98" s="3">
        <v>198</v>
      </c>
      <c r="N98" s="3">
        <v>243</v>
      </c>
      <c r="O98" s="3">
        <v>266</v>
      </c>
      <c r="P98" s="3">
        <v>18539</v>
      </c>
      <c r="Q98" s="3">
        <v>2080</v>
      </c>
      <c r="R98" s="4">
        <v>8.4499999999999993</v>
      </c>
      <c r="S98" s="6">
        <f>GlowNestSocialTable[[#This Row],[Link Clicks]]/GlowNestSocialTable[[#This Row],[Reach]]</f>
        <v>1.081256859477257E-2</v>
      </c>
    </row>
    <row r="99" spans="1:19">
      <c r="A99" t="s">
        <v>131</v>
      </c>
      <c r="B99" s="2">
        <v>45714</v>
      </c>
      <c r="C99" t="s">
        <v>19</v>
      </c>
      <c r="D99" t="s">
        <v>34</v>
      </c>
      <c r="E99" t="s">
        <v>46</v>
      </c>
      <c r="F99" t="s">
        <v>22</v>
      </c>
      <c r="G99" t="s">
        <v>23</v>
      </c>
      <c r="H99" s="3">
        <v>69019</v>
      </c>
      <c r="I99" s="3">
        <v>25650</v>
      </c>
      <c r="J99" s="3">
        <v>16953</v>
      </c>
      <c r="K99" s="3">
        <v>399</v>
      </c>
      <c r="L99" s="3">
        <v>60</v>
      </c>
      <c r="M99" s="3">
        <v>48</v>
      </c>
      <c r="N99" s="3">
        <v>64</v>
      </c>
      <c r="O99" s="3">
        <v>244</v>
      </c>
      <c r="P99" s="3"/>
      <c r="Q99" s="3">
        <v>571</v>
      </c>
      <c r="R99" s="4">
        <v>3.37</v>
      </c>
      <c r="S99" s="6">
        <f>GlowNestSocialTable[[#This Row],[Link Clicks]]/GlowNestSocialTable[[#This Row],[Reach]]</f>
        <v>1.439273284964313E-2</v>
      </c>
    </row>
    <row r="100" spans="1:19">
      <c r="A100" t="s">
        <v>132</v>
      </c>
      <c r="B100" s="2">
        <v>45715</v>
      </c>
      <c r="C100" t="s">
        <v>19</v>
      </c>
      <c r="D100" t="s">
        <v>20</v>
      </c>
      <c r="E100" t="s">
        <v>27</v>
      </c>
      <c r="F100" t="s">
        <v>22</v>
      </c>
      <c r="G100" t="s">
        <v>23</v>
      </c>
      <c r="H100" s="3">
        <v>68830</v>
      </c>
      <c r="I100" s="3">
        <v>32929</v>
      </c>
      <c r="J100" s="3">
        <v>24798</v>
      </c>
      <c r="K100" s="3">
        <v>1208</v>
      </c>
      <c r="L100" s="3">
        <v>148</v>
      </c>
      <c r="M100" s="3">
        <v>180</v>
      </c>
      <c r="N100" s="3">
        <v>487</v>
      </c>
      <c r="O100" s="3">
        <v>257</v>
      </c>
      <c r="P100" s="3">
        <v>14054</v>
      </c>
      <c r="Q100" s="3">
        <v>2023</v>
      </c>
      <c r="R100" s="4">
        <v>8.16</v>
      </c>
      <c r="S100" s="6">
        <f>GlowNestSocialTable[[#This Row],[Link Clicks]]/GlowNestSocialTable[[#This Row],[Reach]]</f>
        <v>1.0363739011210581E-2</v>
      </c>
    </row>
    <row r="101" spans="1:19">
      <c r="A101" t="s">
        <v>133</v>
      </c>
      <c r="B101" s="2">
        <v>45715</v>
      </c>
      <c r="C101" t="s">
        <v>36</v>
      </c>
      <c r="D101" t="s">
        <v>20</v>
      </c>
      <c r="E101" t="s">
        <v>21</v>
      </c>
      <c r="F101" t="s">
        <v>44</v>
      </c>
      <c r="G101" t="s">
        <v>23</v>
      </c>
      <c r="H101" s="3">
        <v>82794</v>
      </c>
      <c r="I101" s="3">
        <v>50069</v>
      </c>
      <c r="J101" s="3">
        <v>40146</v>
      </c>
      <c r="K101" s="3">
        <v>984</v>
      </c>
      <c r="L101" s="3">
        <v>134</v>
      </c>
      <c r="M101" s="3">
        <v>92</v>
      </c>
      <c r="N101" s="3">
        <v>391</v>
      </c>
      <c r="O101" s="3">
        <v>207</v>
      </c>
      <c r="P101" s="3">
        <v>23680</v>
      </c>
      <c r="Q101" s="3">
        <v>1601</v>
      </c>
      <c r="R101" s="4">
        <v>3.99</v>
      </c>
      <c r="S101" s="6">
        <f>GlowNestSocialTable[[#This Row],[Link Clicks]]/GlowNestSocialTable[[#This Row],[Reach]]</f>
        <v>5.156179943207293E-3</v>
      </c>
    </row>
    <row r="102" spans="1:19">
      <c r="A102" t="s">
        <v>134</v>
      </c>
      <c r="B102" s="2">
        <v>45716</v>
      </c>
      <c r="C102" t="s">
        <v>19</v>
      </c>
      <c r="D102" t="s">
        <v>20</v>
      </c>
      <c r="E102" t="s">
        <v>25</v>
      </c>
      <c r="F102" t="s">
        <v>28</v>
      </c>
      <c r="G102" t="s">
        <v>23</v>
      </c>
      <c r="H102" s="3">
        <v>68838</v>
      </c>
      <c r="I102" s="3">
        <v>51121</v>
      </c>
      <c r="J102" s="3">
        <v>33965</v>
      </c>
      <c r="K102" s="3">
        <v>1087</v>
      </c>
      <c r="L102" s="3">
        <v>146</v>
      </c>
      <c r="M102" s="3">
        <v>161</v>
      </c>
      <c r="N102" s="3">
        <v>180</v>
      </c>
      <c r="O102" s="3">
        <v>236</v>
      </c>
      <c r="P102" s="3">
        <v>21145</v>
      </c>
      <c r="Q102" s="3">
        <v>1574</v>
      </c>
      <c r="R102" s="4">
        <v>4.63</v>
      </c>
      <c r="S102" s="6">
        <f>GlowNestSocialTable[[#This Row],[Link Clicks]]/GlowNestSocialTable[[#This Row],[Reach]]</f>
        <v>6.9483291623730313E-3</v>
      </c>
    </row>
    <row r="103" spans="1:19">
      <c r="A103" t="s">
        <v>135</v>
      </c>
      <c r="B103" s="2">
        <v>45716</v>
      </c>
      <c r="C103" t="s">
        <v>19</v>
      </c>
      <c r="D103" t="s">
        <v>20</v>
      </c>
      <c r="E103" t="s">
        <v>27</v>
      </c>
      <c r="F103" t="s">
        <v>42</v>
      </c>
      <c r="G103" t="s">
        <v>23</v>
      </c>
      <c r="H103" s="3">
        <v>70139</v>
      </c>
      <c r="I103" s="3">
        <v>36340</v>
      </c>
      <c r="J103" s="3">
        <v>26210</v>
      </c>
      <c r="K103" s="3">
        <v>2005</v>
      </c>
      <c r="L103" s="3">
        <v>222</v>
      </c>
      <c r="M103" s="3">
        <v>219</v>
      </c>
      <c r="N103" s="3">
        <v>422</v>
      </c>
      <c r="O103" s="3">
        <v>258</v>
      </c>
      <c r="P103" s="3">
        <v>22065</v>
      </c>
      <c r="Q103" s="3">
        <v>2868</v>
      </c>
      <c r="R103" s="4">
        <v>10.94</v>
      </c>
      <c r="S103" s="6">
        <f>GlowNestSocialTable[[#This Row],[Link Clicks]]/GlowNestSocialTable[[#This Row],[Reach]]</f>
        <v>9.8435711560473094E-3</v>
      </c>
    </row>
    <row r="104" spans="1:19">
      <c r="A104" t="s">
        <v>136</v>
      </c>
      <c r="B104" s="2">
        <v>45717</v>
      </c>
      <c r="C104" t="s">
        <v>19</v>
      </c>
      <c r="D104" t="s">
        <v>30</v>
      </c>
      <c r="E104" t="s">
        <v>46</v>
      </c>
      <c r="F104" t="s">
        <v>31</v>
      </c>
      <c r="G104" t="s">
        <v>23</v>
      </c>
      <c r="H104" s="3">
        <v>68467</v>
      </c>
      <c r="I104" s="3">
        <v>26051</v>
      </c>
      <c r="J104" s="3">
        <v>19508</v>
      </c>
      <c r="K104" s="3">
        <v>551</v>
      </c>
      <c r="L104" s="3">
        <v>54</v>
      </c>
      <c r="M104" s="3">
        <v>58</v>
      </c>
      <c r="N104" s="3">
        <v>80</v>
      </c>
      <c r="O104" s="3">
        <v>200</v>
      </c>
      <c r="P104" s="3"/>
      <c r="Q104" s="3">
        <v>743</v>
      </c>
      <c r="R104" s="4">
        <v>3.81</v>
      </c>
      <c r="S104" s="6">
        <f>GlowNestSocialTable[[#This Row],[Link Clicks]]/GlowNestSocialTable[[#This Row],[Reach]]</f>
        <v>1.0252204223908139E-2</v>
      </c>
    </row>
    <row r="105" spans="1:19">
      <c r="A105" t="s">
        <v>137</v>
      </c>
      <c r="B105" s="2">
        <v>45718</v>
      </c>
      <c r="C105" t="s">
        <v>33</v>
      </c>
      <c r="D105" t="s">
        <v>34</v>
      </c>
      <c r="E105" t="s">
        <v>25</v>
      </c>
      <c r="F105" t="s">
        <v>42</v>
      </c>
      <c r="G105" t="s">
        <v>23</v>
      </c>
      <c r="H105" s="3">
        <v>31910</v>
      </c>
      <c r="I105" s="3">
        <v>6703</v>
      </c>
      <c r="J105" s="3">
        <v>6141</v>
      </c>
      <c r="K105" s="3">
        <v>89</v>
      </c>
      <c r="L105" s="3">
        <v>11</v>
      </c>
      <c r="M105" s="3">
        <v>10</v>
      </c>
      <c r="N105" s="3">
        <v>9</v>
      </c>
      <c r="O105" s="3">
        <v>69</v>
      </c>
      <c r="P105" s="3"/>
      <c r="Q105" s="3">
        <v>119</v>
      </c>
      <c r="R105" s="4">
        <v>1.94</v>
      </c>
      <c r="S105" s="6">
        <f>GlowNestSocialTable[[#This Row],[Link Clicks]]/GlowNestSocialTable[[#This Row],[Reach]]</f>
        <v>1.1235955056179775E-2</v>
      </c>
    </row>
    <row r="106" spans="1:19">
      <c r="A106" t="s">
        <v>138</v>
      </c>
      <c r="B106" s="2">
        <v>45718</v>
      </c>
      <c r="C106" t="s">
        <v>19</v>
      </c>
      <c r="D106" t="s">
        <v>30</v>
      </c>
      <c r="E106" t="s">
        <v>46</v>
      </c>
      <c r="F106" t="s">
        <v>31</v>
      </c>
      <c r="G106" t="s">
        <v>23</v>
      </c>
      <c r="H106" s="3">
        <v>70262</v>
      </c>
      <c r="I106" s="3">
        <v>27859</v>
      </c>
      <c r="J106" s="3">
        <v>22544</v>
      </c>
      <c r="K106" s="3">
        <v>682</v>
      </c>
      <c r="L106" s="3">
        <v>86</v>
      </c>
      <c r="M106" s="3">
        <v>100</v>
      </c>
      <c r="N106" s="3"/>
      <c r="O106" s="3">
        <v>182</v>
      </c>
      <c r="P106" s="3"/>
      <c r="Q106" s="3">
        <v>911</v>
      </c>
      <c r="R106" s="4">
        <v>4.04</v>
      </c>
      <c r="S106" s="6">
        <f>GlowNestSocialTable[[#This Row],[Link Clicks]]/GlowNestSocialTable[[#This Row],[Reach]]</f>
        <v>8.0731014904187361E-3</v>
      </c>
    </row>
    <row r="107" spans="1:19">
      <c r="A107" t="s">
        <v>139</v>
      </c>
      <c r="B107" s="2">
        <v>45719</v>
      </c>
      <c r="C107" t="s">
        <v>36</v>
      </c>
      <c r="D107" t="s">
        <v>20</v>
      </c>
      <c r="E107" t="s">
        <v>21</v>
      </c>
      <c r="F107" t="s">
        <v>22</v>
      </c>
      <c r="G107" t="s">
        <v>23</v>
      </c>
      <c r="H107" s="3">
        <v>82556</v>
      </c>
      <c r="I107" s="3">
        <v>69304</v>
      </c>
      <c r="J107" s="3">
        <v>48468</v>
      </c>
      <c r="K107" s="3">
        <v>1213</v>
      </c>
      <c r="L107" s="3">
        <v>131</v>
      </c>
      <c r="M107" s="3">
        <v>140</v>
      </c>
      <c r="N107" s="3">
        <v>214</v>
      </c>
      <c r="O107" s="3">
        <v>212</v>
      </c>
      <c r="P107" s="3">
        <v>26725</v>
      </c>
      <c r="Q107" s="3">
        <v>1698</v>
      </c>
      <c r="R107" s="4">
        <v>3.5</v>
      </c>
      <c r="S107" s="6">
        <f>GlowNestSocialTable[[#This Row],[Link Clicks]]/GlowNestSocialTable[[#This Row],[Reach]]</f>
        <v>4.3740199719402495E-3</v>
      </c>
    </row>
    <row r="108" spans="1:19">
      <c r="A108" t="s">
        <v>140</v>
      </c>
      <c r="B108" s="2">
        <v>45719</v>
      </c>
      <c r="C108" t="s">
        <v>36</v>
      </c>
      <c r="D108" t="s">
        <v>30</v>
      </c>
      <c r="E108" t="s">
        <v>25</v>
      </c>
      <c r="F108" t="s">
        <v>22</v>
      </c>
      <c r="G108" t="s">
        <v>23</v>
      </c>
      <c r="H108" s="3">
        <v>83344</v>
      </c>
      <c r="I108" s="3">
        <v>44908</v>
      </c>
      <c r="J108" s="3">
        <v>36861</v>
      </c>
      <c r="K108" s="3">
        <v>321</v>
      </c>
      <c r="L108" s="3">
        <v>46</v>
      </c>
      <c r="M108" s="3">
        <v>41</v>
      </c>
      <c r="N108" s="3">
        <v>19</v>
      </c>
      <c r="O108" s="3">
        <v>136</v>
      </c>
      <c r="P108" s="3"/>
      <c r="Q108" s="3">
        <v>427</v>
      </c>
      <c r="R108" s="4">
        <v>1.1599999999999999</v>
      </c>
      <c r="S108" s="6">
        <f>GlowNestSocialTable[[#This Row],[Link Clicks]]/GlowNestSocialTable[[#This Row],[Reach]]</f>
        <v>3.689536366349258E-3</v>
      </c>
    </row>
    <row r="109" spans="1:19">
      <c r="A109" t="s">
        <v>141</v>
      </c>
      <c r="B109" s="2">
        <v>45720</v>
      </c>
      <c r="C109" t="s">
        <v>19</v>
      </c>
      <c r="D109" t="s">
        <v>20</v>
      </c>
      <c r="E109" t="s">
        <v>25</v>
      </c>
      <c r="F109" t="s">
        <v>28</v>
      </c>
      <c r="G109" t="s">
        <v>23</v>
      </c>
      <c r="H109" s="3">
        <v>69151</v>
      </c>
      <c r="I109" s="3">
        <v>36118</v>
      </c>
      <c r="J109" s="3">
        <v>24730</v>
      </c>
      <c r="K109" s="3">
        <v>864</v>
      </c>
      <c r="L109" s="3">
        <v>121</v>
      </c>
      <c r="M109" s="3">
        <v>160</v>
      </c>
      <c r="N109" s="3">
        <v>212</v>
      </c>
      <c r="O109" s="3">
        <v>270</v>
      </c>
      <c r="P109" s="3">
        <v>19672</v>
      </c>
      <c r="Q109" s="3">
        <v>1357</v>
      </c>
      <c r="R109" s="4">
        <v>5.49</v>
      </c>
      <c r="S109" s="6">
        <f>GlowNestSocialTable[[#This Row],[Link Clicks]]/GlowNestSocialTable[[#This Row],[Reach]]</f>
        <v>1.0917913465426607E-2</v>
      </c>
    </row>
    <row r="110" spans="1:19">
      <c r="A110" t="s">
        <v>142</v>
      </c>
      <c r="B110" s="2">
        <v>45721</v>
      </c>
      <c r="C110" t="s">
        <v>19</v>
      </c>
      <c r="D110" t="s">
        <v>20</v>
      </c>
      <c r="E110" t="s">
        <v>25</v>
      </c>
      <c r="F110" t="s">
        <v>31</v>
      </c>
      <c r="G110" t="s">
        <v>23</v>
      </c>
      <c r="H110" s="3">
        <v>69109</v>
      </c>
      <c r="I110" s="3">
        <v>29762</v>
      </c>
      <c r="J110" s="3">
        <v>26455</v>
      </c>
      <c r="K110" s="3">
        <v>807</v>
      </c>
      <c r="L110" s="3">
        <v>158</v>
      </c>
      <c r="M110" s="3">
        <v>81</v>
      </c>
      <c r="N110" s="3">
        <v>197</v>
      </c>
      <c r="O110" s="3">
        <v>178</v>
      </c>
      <c r="P110" s="3">
        <v>17762</v>
      </c>
      <c r="Q110" s="3">
        <v>1243</v>
      </c>
      <c r="R110" s="4">
        <v>4.7</v>
      </c>
      <c r="S110" s="6">
        <f>GlowNestSocialTable[[#This Row],[Link Clicks]]/GlowNestSocialTable[[#This Row],[Reach]]</f>
        <v>6.7284067284067283E-3</v>
      </c>
    </row>
    <row r="111" spans="1:19">
      <c r="A111" t="s">
        <v>143</v>
      </c>
      <c r="B111" s="2">
        <v>45721</v>
      </c>
      <c r="C111" t="s">
        <v>19</v>
      </c>
      <c r="D111" t="s">
        <v>30</v>
      </c>
      <c r="E111" t="s">
        <v>49</v>
      </c>
      <c r="F111" t="s">
        <v>22</v>
      </c>
      <c r="G111" t="s">
        <v>23</v>
      </c>
      <c r="H111" s="3">
        <v>68556</v>
      </c>
      <c r="I111" s="3">
        <v>22195</v>
      </c>
      <c r="J111" s="3">
        <v>17981</v>
      </c>
      <c r="K111" s="3">
        <v>585</v>
      </c>
      <c r="L111" s="3">
        <v>90</v>
      </c>
      <c r="M111" s="3">
        <v>100</v>
      </c>
      <c r="N111" s="3">
        <v>82</v>
      </c>
      <c r="O111" s="3">
        <v>169</v>
      </c>
      <c r="P111" s="3"/>
      <c r="Q111" s="3">
        <v>857</v>
      </c>
      <c r="R111" s="4">
        <v>4.7699999999999996</v>
      </c>
      <c r="S111" s="6">
        <f>GlowNestSocialTable[[#This Row],[Link Clicks]]/GlowNestSocialTable[[#This Row],[Reach]]</f>
        <v>9.3988098548467829E-3</v>
      </c>
    </row>
    <row r="112" spans="1:19">
      <c r="A112" t="s">
        <v>144</v>
      </c>
      <c r="B112" s="2">
        <v>45722</v>
      </c>
      <c r="C112" t="s">
        <v>19</v>
      </c>
      <c r="D112" t="s">
        <v>37</v>
      </c>
      <c r="E112" t="s">
        <v>21</v>
      </c>
      <c r="F112" t="s">
        <v>42</v>
      </c>
      <c r="G112" t="s">
        <v>38</v>
      </c>
      <c r="H112" s="3">
        <v>71483</v>
      </c>
      <c r="I112" s="3">
        <v>53522</v>
      </c>
      <c r="J112" s="3">
        <v>36855</v>
      </c>
      <c r="K112" s="3">
        <v>1441</v>
      </c>
      <c r="L112" s="3">
        <v>202</v>
      </c>
      <c r="M112" s="3">
        <v>238</v>
      </c>
      <c r="N112" s="3">
        <v>292</v>
      </c>
      <c r="O112" s="3">
        <v>501</v>
      </c>
      <c r="P112" s="3"/>
      <c r="Q112" s="3">
        <v>2173</v>
      </c>
      <c r="R112" s="4">
        <v>5.9</v>
      </c>
      <c r="S112" s="6">
        <f>GlowNestSocialTable[[#This Row],[Link Clicks]]/GlowNestSocialTable[[#This Row],[Reach]]</f>
        <v>1.3593813593813594E-2</v>
      </c>
    </row>
    <row r="113" spans="1:19">
      <c r="A113" t="s">
        <v>145</v>
      </c>
      <c r="B113" s="2">
        <v>45723</v>
      </c>
      <c r="C113" t="s">
        <v>19</v>
      </c>
      <c r="D113" t="s">
        <v>37</v>
      </c>
      <c r="E113" t="s">
        <v>25</v>
      </c>
      <c r="F113" t="s">
        <v>31</v>
      </c>
      <c r="G113" t="s">
        <v>23</v>
      </c>
      <c r="H113" s="3">
        <v>69339</v>
      </c>
      <c r="I113" s="3">
        <v>32389</v>
      </c>
      <c r="J113" s="3">
        <v>25908</v>
      </c>
      <c r="K113" s="3">
        <v>595</v>
      </c>
      <c r="L113" s="3">
        <v>64</v>
      </c>
      <c r="M113" s="3">
        <v>88</v>
      </c>
      <c r="N113" s="3">
        <v>93</v>
      </c>
      <c r="O113" s="3">
        <v>195</v>
      </c>
      <c r="P113" s="3"/>
      <c r="Q113" s="3">
        <v>840</v>
      </c>
      <c r="R113" s="4">
        <v>3.24</v>
      </c>
      <c r="S113" s="6">
        <f>GlowNestSocialTable[[#This Row],[Link Clicks]]/GlowNestSocialTable[[#This Row],[Reach]]</f>
        <v>7.5266327003242241E-3</v>
      </c>
    </row>
    <row r="114" spans="1:19">
      <c r="A114" t="s">
        <v>146</v>
      </c>
      <c r="B114" s="2">
        <v>45723</v>
      </c>
      <c r="C114" t="s">
        <v>33</v>
      </c>
      <c r="D114" t="s">
        <v>34</v>
      </c>
      <c r="E114" t="s">
        <v>25</v>
      </c>
      <c r="F114" t="s">
        <v>42</v>
      </c>
      <c r="G114" t="s">
        <v>23</v>
      </c>
      <c r="H114" s="3">
        <v>35040</v>
      </c>
      <c r="I114" s="3">
        <v>10021</v>
      </c>
      <c r="J114" s="3">
        <v>8491</v>
      </c>
      <c r="K114" s="3">
        <v>127</v>
      </c>
      <c r="L114" s="3">
        <v>20</v>
      </c>
      <c r="M114" s="3">
        <v>19</v>
      </c>
      <c r="N114" s="3">
        <v>3</v>
      </c>
      <c r="O114" s="3">
        <v>121</v>
      </c>
      <c r="P114" s="3"/>
      <c r="Q114" s="3">
        <v>169</v>
      </c>
      <c r="R114" s="4">
        <v>1.99</v>
      </c>
      <c r="S114" s="6">
        <f>GlowNestSocialTable[[#This Row],[Link Clicks]]/GlowNestSocialTable[[#This Row],[Reach]]</f>
        <v>1.425038275821458E-2</v>
      </c>
    </row>
    <row r="115" spans="1:19">
      <c r="A115" t="s">
        <v>147</v>
      </c>
      <c r="B115" s="2">
        <v>45724</v>
      </c>
      <c r="C115" t="s">
        <v>19</v>
      </c>
      <c r="D115" t="s">
        <v>37</v>
      </c>
      <c r="E115" t="s">
        <v>49</v>
      </c>
      <c r="F115" t="s">
        <v>44</v>
      </c>
      <c r="G115" t="s">
        <v>23</v>
      </c>
      <c r="H115" s="3">
        <v>70059</v>
      </c>
      <c r="I115" s="3">
        <v>33316</v>
      </c>
      <c r="J115" s="3">
        <v>22647</v>
      </c>
      <c r="K115" s="3">
        <v>952</v>
      </c>
      <c r="L115" s="3">
        <v>152</v>
      </c>
      <c r="M115" s="3">
        <v>116</v>
      </c>
      <c r="N115" s="3">
        <v>205</v>
      </c>
      <c r="O115" s="3">
        <v>244</v>
      </c>
      <c r="P115" s="3"/>
      <c r="Q115" s="3">
        <v>1425</v>
      </c>
      <c r="R115" s="4">
        <v>6.29</v>
      </c>
      <c r="S115" s="6">
        <f>GlowNestSocialTable[[#This Row],[Link Clicks]]/GlowNestSocialTable[[#This Row],[Reach]]</f>
        <v>1.0774053958581711E-2</v>
      </c>
    </row>
    <row r="116" spans="1:19">
      <c r="A116" t="s">
        <v>148</v>
      </c>
      <c r="B116" s="2">
        <v>45724</v>
      </c>
      <c r="C116" t="s">
        <v>36</v>
      </c>
      <c r="D116" t="s">
        <v>30</v>
      </c>
      <c r="E116" t="s">
        <v>27</v>
      </c>
      <c r="F116" t="s">
        <v>22</v>
      </c>
      <c r="G116" t="s">
        <v>23</v>
      </c>
      <c r="H116" s="3">
        <v>84206</v>
      </c>
      <c r="I116" s="3">
        <v>42591</v>
      </c>
      <c r="J116" s="3">
        <v>34862</v>
      </c>
      <c r="K116" s="3">
        <v>611</v>
      </c>
      <c r="L116" s="3">
        <v>73</v>
      </c>
      <c r="M116" s="3">
        <v>82</v>
      </c>
      <c r="N116" s="3">
        <v>110</v>
      </c>
      <c r="O116" s="3">
        <v>166</v>
      </c>
      <c r="P116" s="3"/>
      <c r="Q116" s="3">
        <v>876</v>
      </c>
      <c r="R116" s="4">
        <v>2.5099999999999998</v>
      </c>
      <c r="S116" s="6">
        <f>GlowNestSocialTable[[#This Row],[Link Clicks]]/GlowNestSocialTable[[#This Row],[Reach]]</f>
        <v>4.7616315759279448E-3</v>
      </c>
    </row>
    <row r="117" spans="1:19">
      <c r="A117" t="s">
        <v>149</v>
      </c>
      <c r="B117" s="2">
        <v>45725</v>
      </c>
      <c r="C117" t="s">
        <v>36</v>
      </c>
      <c r="D117" t="s">
        <v>34</v>
      </c>
      <c r="E117" t="s">
        <v>21</v>
      </c>
      <c r="F117" t="s">
        <v>22</v>
      </c>
      <c r="G117" t="s">
        <v>23</v>
      </c>
      <c r="H117" s="3">
        <v>83026</v>
      </c>
      <c r="I117" s="3">
        <v>37174</v>
      </c>
      <c r="J117" s="3">
        <v>27174</v>
      </c>
      <c r="K117" s="3">
        <v>350</v>
      </c>
      <c r="L117" s="3">
        <v>46</v>
      </c>
      <c r="M117" s="3">
        <v>47</v>
      </c>
      <c r="N117" s="3">
        <v>58</v>
      </c>
      <c r="O117" s="3">
        <v>174</v>
      </c>
      <c r="P117" s="3"/>
      <c r="Q117" s="3">
        <v>501</v>
      </c>
      <c r="R117" s="4">
        <v>1.84</v>
      </c>
      <c r="S117" s="6">
        <f>GlowNestSocialTable[[#This Row],[Link Clicks]]/GlowNestSocialTable[[#This Row],[Reach]]</f>
        <v>6.4031795098255682E-3</v>
      </c>
    </row>
    <row r="118" spans="1:19">
      <c r="A118" t="s">
        <v>150</v>
      </c>
      <c r="B118" s="2">
        <v>45726</v>
      </c>
      <c r="C118" t="s">
        <v>19</v>
      </c>
      <c r="D118" t="s">
        <v>20</v>
      </c>
      <c r="E118" t="s">
        <v>25</v>
      </c>
      <c r="F118" t="s">
        <v>31</v>
      </c>
      <c r="G118" t="s">
        <v>23</v>
      </c>
      <c r="H118" s="3">
        <v>70456</v>
      </c>
      <c r="I118" s="3">
        <v>32335</v>
      </c>
      <c r="J118" s="3">
        <v>29433</v>
      </c>
      <c r="K118" s="3">
        <v>871</v>
      </c>
      <c r="L118" s="3">
        <v>98</v>
      </c>
      <c r="M118" s="3">
        <v>121</v>
      </c>
      <c r="N118" s="3">
        <v>80</v>
      </c>
      <c r="O118" s="3">
        <v>254</v>
      </c>
      <c r="P118" s="3">
        <v>18996</v>
      </c>
      <c r="Q118" s="3">
        <v>1170</v>
      </c>
      <c r="R118" s="4">
        <v>3.98</v>
      </c>
      <c r="S118" s="6">
        <f>GlowNestSocialTable[[#This Row],[Link Clicks]]/GlowNestSocialTable[[#This Row],[Reach]]</f>
        <v>8.6297693065606629E-3</v>
      </c>
    </row>
    <row r="119" spans="1:19">
      <c r="A119" t="s">
        <v>151</v>
      </c>
      <c r="B119" s="2">
        <v>45726</v>
      </c>
      <c r="C119" t="s">
        <v>19</v>
      </c>
      <c r="D119" t="s">
        <v>20</v>
      </c>
      <c r="E119" t="s">
        <v>49</v>
      </c>
      <c r="F119" t="s">
        <v>28</v>
      </c>
      <c r="G119" t="s">
        <v>23</v>
      </c>
      <c r="H119" s="3">
        <v>70760</v>
      </c>
      <c r="I119" s="3">
        <v>30083</v>
      </c>
      <c r="J119" s="3">
        <v>24559</v>
      </c>
      <c r="K119" s="3">
        <v>1160</v>
      </c>
      <c r="L119" s="3">
        <v>159</v>
      </c>
      <c r="M119" s="3">
        <v>153</v>
      </c>
      <c r="N119" s="3">
        <v>212</v>
      </c>
      <c r="O119" s="3">
        <v>159</v>
      </c>
      <c r="P119" s="3">
        <v>20823</v>
      </c>
      <c r="Q119" s="3">
        <v>1684</v>
      </c>
      <c r="R119" s="4">
        <v>6.86</v>
      </c>
      <c r="S119" s="6">
        <f>GlowNestSocialTable[[#This Row],[Link Clicks]]/GlowNestSocialTable[[#This Row],[Reach]]</f>
        <v>6.4742049757726293E-3</v>
      </c>
    </row>
    <row r="120" spans="1:19">
      <c r="A120" t="s">
        <v>152</v>
      </c>
      <c r="B120" s="2">
        <v>45727</v>
      </c>
      <c r="C120" t="s">
        <v>36</v>
      </c>
      <c r="D120" t="s">
        <v>37</v>
      </c>
      <c r="E120" t="s">
        <v>49</v>
      </c>
      <c r="F120" t="s">
        <v>28</v>
      </c>
      <c r="G120" t="s">
        <v>23</v>
      </c>
      <c r="H120" s="3">
        <v>85847</v>
      </c>
      <c r="I120" s="3">
        <v>51376</v>
      </c>
      <c r="J120" s="3">
        <v>33402</v>
      </c>
      <c r="K120" s="3">
        <v>706</v>
      </c>
      <c r="L120" s="3">
        <v>80</v>
      </c>
      <c r="M120" s="3">
        <v>77</v>
      </c>
      <c r="N120" s="3">
        <v>172</v>
      </c>
      <c r="O120" s="3">
        <v>170</v>
      </c>
      <c r="P120" s="3"/>
      <c r="Q120" s="3">
        <v>1035</v>
      </c>
      <c r="R120" s="4">
        <v>3.1</v>
      </c>
      <c r="S120" s="6">
        <f>GlowNestSocialTable[[#This Row],[Link Clicks]]/GlowNestSocialTable[[#This Row],[Reach]]</f>
        <v>5.0895155978683913E-3</v>
      </c>
    </row>
    <row r="121" spans="1:19">
      <c r="A121" t="s">
        <v>153</v>
      </c>
      <c r="B121" s="2">
        <v>45727</v>
      </c>
      <c r="C121" t="s">
        <v>36</v>
      </c>
      <c r="D121" t="s">
        <v>20</v>
      </c>
      <c r="E121" t="s">
        <v>21</v>
      </c>
      <c r="F121" t="s">
        <v>28</v>
      </c>
      <c r="G121" t="s">
        <v>38</v>
      </c>
      <c r="H121" s="3">
        <v>83321</v>
      </c>
      <c r="I121" s="3">
        <v>83931</v>
      </c>
      <c r="J121" s="3">
        <v>61290</v>
      </c>
      <c r="K121" s="3">
        <v>1142</v>
      </c>
      <c r="L121" s="3">
        <v>157</v>
      </c>
      <c r="M121" s="3">
        <v>103</v>
      </c>
      <c r="N121" s="3">
        <v>456</v>
      </c>
      <c r="O121" s="3">
        <v>281</v>
      </c>
      <c r="P121" s="3">
        <v>40524</v>
      </c>
      <c r="Q121" s="3">
        <v>1858</v>
      </c>
      <c r="R121" s="4">
        <v>3.03</v>
      </c>
      <c r="S121" s="6">
        <f>GlowNestSocialTable[[#This Row],[Link Clicks]]/GlowNestSocialTable[[#This Row],[Reach]]</f>
        <v>4.5847609724261711E-3</v>
      </c>
    </row>
    <row r="122" spans="1:19">
      <c r="A122" t="s">
        <v>154</v>
      </c>
      <c r="B122" s="2">
        <v>45728</v>
      </c>
      <c r="C122" t="s">
        <v>19</v>
      </c>
      <c r="D122" t="s">
        <v>34</v>
      </c>
      <c r="E122" t="s">
        <v>25</v>
      </c>
      <c r="F122" t="s">
        <v>44</v>
      </c>
      <c r="G122" t="s">
        <v>23</v>
      </c>
      <c r="H122" s="3">
        <v>72480</v>
      </c>
      <c r="I122" s="3">
        <v>18764</v>
      </c>
      <c r="J122" s="3">
        <v>16780</v>
      </c>
      <c r="K122" s="3">
        <v>267</v>
      </c>
      <c r="L122" s="3">
        <v>47</v>
      </c>
      <c r="M122" s="3">
        <v>36</v>
      </c>
      <c r="N122" s="3">
        <v>14</v>
      </c>
      <c r="O122" s="3">
        <v>174</v>
      </c>
      <c r="P122" s="3"/>
      <c r="Q122" s="3">
        <v>364</v>
      </c>
      <c r="R122" s="4">
        <v>2.17</v>
      </c>
      <c r="S122" s="6">
        <f>GlowNestSocialTable[[#This Row],[Link Clicks]]/GlowNestSocialTable[[#This Row],[Reach]]</f>
        <v>1.0369487485101312E-2</v>
      </c>
    </row>
    <row r="123" spans="1:19">
      <c r="A123" t="s">
        <v>155</v>
      </c>
      <c r="B123" s="2">
        <v>45729</v>
      </c>
      <c r="C123" t="s">
        <v>36</v>
      </c>
      <c r="D123" t="s">
        <v>37</v>
      </c>
      <c r="E123" t="s">
        <v>21</v>
      </c>
      <c r="F123" t="s">
        <v>42</v>
      </c>
      <c r="G123" t="s">
        <v>23</v>
      </c>
      <c r="H123" s="3">
        <v>85585</v>
      </c>
      <c r="I123" s="3">
        <v>43825</v>
      </c>
      <c r="J123" s="3">
        <v>40401</v>
      </c>
      <c r="K123" s="3">
        <v>858</v>
      </c>
      <c r="L123" s="3">
        <v>114</v>
      </c>
      <c r="M123" s="3">
        <v>89</v>
      </c>
      <c r="N123" s="3">
        <v>263</v>
      </c>
      <c r="O123" s="3">
        <v>162</v>
      </c>
      <c r="P123" s="3"/>
      <c r="Q123" s="3">
        <v>1324</v>
      </c>
      <c r="R123" s="4">
        <v>3.28</v>
      </c>
      <c r="S123" s="6">
        <f>GlowNestSocialTable[[#This Row],[Link Clicks]]/GlowNestSocialTable[[#This Row],[Reach]]</f>
        <v>4.0098017375807529E-3</v>
      </c>
    </row>
    <row r="124" spans="1:19">
      <c r="A124" t="s">
        <v>156</v>
      </c>
      <c r="B124" s="2">
        <v>45729</v>
      </c>
      <c r="C124" t="s">
        <v>33</v>
      </c>
      <c r="D124" t="s">
        <v>30</v>
      </c>
      <c r="E124" t="s">
        <v>27</v>
      </c>
      <c r="F124" t="s">
        <v>28</v>
      </c>
      <c r="G124" t="s">
        <v>23</v>
      </c>
      <c r="H124" s="3">
        <v>33140</v>
      </c>
      <c r="I124" s="3">
        <v>12276</v>
      </c>
      <c r="J124" s="3">
        <v>8117</v>
      </c>
      <c r="K124" s="3">
        <v>198</v>
      </c>
      <c r="L124" s="3">
        <v>24</v>
      </c>
      <c r="M124" s="3">
        <v>26</v>
      </c>
      <c r="N124" s="3">
        <v>23</v>
      </c>
      <c r="O124" s="3">
        <v>106</v>
      </c>
      <c r="P124" s="3"/>
      <c r="Q124" s="3">
        <v>271</v>
      </c>
      <c r="R124" s="4">
        <v>3.34</v>
      </c>
      <c r="S124" s="6">
        <f>GlowNestSocialTable[[#This Row],[Link Clicks]]/GlowNestSocialTable[[#This Row],[Reach]]</f>
        <v>1.3059011950227916E-2</v>
      </c>
    </row>
    <row r="125" spans="1:19">
      <c r="A125" t="s">
        <v>157</v>
      </c>
      <c r="B125" s="2">
        <v>45730</v>
      </c>
      <c r="C125" t="s">
        <v>19</v>
      </c>
      <c r="D125" t="s">
        <v>20</v>
      </c>
      <c r="E125" t="s">
        <v>25</v>
      </c>
      <c r="F125" t="s">
        <v>28</v>
      </c>
      <c r="G125" t="s">
        <v>23</v>
      </c>
      <c r="H125" s="3">
        <v>67034</v>
      </c>
      <c r="I125" s="3">
        <v>41107</v>
      </c>
      <c r="J125" s="3">
        <v>34831</v>
      </c>
      <c r="K125" s="3">
        <v>1276</v>
      </c>
      <c r="L125" s="3">
        <v>138</v>
      </c>
      <c r="M125" s="3">
        <v>127</v>
      </c>
      <c r="N125" s="3">
        <v>131</v>
      </c>
      <c r="O125" s="3">
        <v>300</v>
      </c>
      <c r="P125" s="3">
        <v>24050</v>
      </c>
      <c r="Q125" s="3">
        <v>1672</v>
      </c>
      <c r="R125" s="4">
        <v>4.8</v>
      </c>
      <c r="S125" s="6">
        <f>GlowNestSocialTable[[#This Row],[Link Clicks]]/GlowNestSocialTable[[#This Row],[Reach]]</f>
        <v>8.613017139904108E-3</v>
      </c>
    </row>
    <row r="126" spans="1:19">
      <c r="A126" t="s">
        <v>158</v>
      </c>
      <c r="B126" s="2">
        <v>45730</v>
      </c>
      <c r="C126" t="s">
        <v>33</v>
      </c>
      <c r="D126" t="s">
        <v>34</v>
      </c>
      <c r="E126" t="s">
        <v>49</v>
      </c>
      <c r="F126" t="s">
        <v>42</v>
      </c>
      <c r="G126" t="s">
        <v>23</v>
      </c>
      <c r="H126" s="3">
        <v>34414</v>
      </c>
      <c r="I126" s="3">
        <v>6942</v>
      </c>
      <c r="J126" s="3">
        <v>6056</v>
      </c>
      <c r="K126" s="3">
        <v>112</v>
      </c>
      <c r="L126" s="3">
        <v>19</v>
      </c>
      <c r="M126" s="3">
        <v>12</v>
      </c>
      <c r="N126" s="3">
        <v>11</v>
      </c>
      <c r="O126" s="3">
        <v>58</v>
      </c>
      <c r="P126" s="3"/>
      <c r="Q126" s="3">
        <v>154</v>
      </c>
      <c r="R126" s="4">
        <v>2.54</v>
      </c>
      <c r="S126" s="6">
        <f>GlowNestSocialTable[[#This Row],[Link Clicks]]/GlowNestSocialTable[[#This Row],[Reach]]</f>
        <v>9.5772787318361956E-3</v>
      </c>
    </row>
    <row r="127" spans="1:19">
      <c r="A127" t="s">
        <v>159</v>
      </c>
      <c r="B127" s="2">
        <v>45731</v>
      </c>
      <c r="C127" t="s">
        <v>19</v>
      </c>
      <c r="D127" t="s">
        <v>30</v>
      </c>
      <c r="E127" t="s">
        <v>49</v>
      </c>
      <c r="F127" t="s">
        <v>44</v>
      </c>
      <c r="G127" t="s">
        <v>38</v>
      </c>
      <c r="H127" s="3">
        <v>70602</v>
      </c>
      <c r="I127" s="3">
        <v>53558</v>
      </c>
      <c r="J127" s="3">
        <v>39695</v>
      </c>
      <c r="K127" s="3">
        <v>1112</v>
      </c>
      <c r="L127" s="3">
        <v>105</v>
      </c>
      <c r="M127" s="3">
        <v>102</v>
      </c>
      <c r="N127" s="3">
        <v>110</v>
      </c>
      <c r="O127" s="3">
        <v>360</v>
      </c>
      <c r="P127" s="3"/>
      <c r="Q127" s="3">
        <v>1429</v>
      </c>
      <c r="R127" s="4">
        <v>3.6</v>
      </c>
      <c r="S127" s="6">
        <f>GlowNestSocialTable[[#This Row],[Link Clicks]]/GlowNestSocialTable[[#This Row],[Reach]]</f>
        <v>9.0691522861821392E-3</v>
      </c>
    </row>
    <row r="128" spans="1:19">
      <c r="A128" t="s">
        <v>160</v>
      </c>
      <c r="B128" s="2">
        <v>45732</v>
      </c>
      <c r="C128" t="s">
        <v>36</v>
      </c>
      <c r="D128" t="s">
        <v>37</v>
      </c>
      <c r="E128" t="s">
        <v>25</v>
      </c>
      <c r="F128" t="s">
        <v>44</v>
      </c>
      <c r="G128" t="s">
        <v>23</v>
      </c>
      <c r="H128" s="3">
        <v>87401</v>
      </c>
      <c r="I128" s="3">
        <v>68942</v>
      </c>
      <c r="J128" s="3">
        <v>47434</v>
      </c>
      <c r="K128" s="3">
        <v>555</v>
      </c>
      <c r="L128" s="3">
        <v>90</v>
      </c>
      <c r="M128" s="3">
        <v>87</v>
      </c>
      <c r="N128" s="3">
        <v>39</v>
      </c>
      <c r="O128" s="3">
        <v>219</v>
      </c>
      <c r="P128" s="3"/>
      <c r="Q128" s="3">
        <v>771</v>
      </c>
      <c r="R128" s="4">
        <v>1.63</v>
      </c>
      <c r="S128" s="6">
        <f>GlowNestSocialTable[[#This Row],[Link Clicks]]/GlowNestSocialTable[[#This Row],[Reach]]</f>
        <v>4.6169414344141334E-3</v>
      </c>
    </row>
    <row r="129" spans="1:19">
      <c r="A129" t="s">
        <v>161</v>
      </c>
      <c r="B129" s="2">
        <v>45732</v>
      </c>
      <c r="C129" t="s">
        <v>36</v>
      </c>
      <c r="D129" t="s">
        <v>37</v>
      </c>
      <c r="E129" t="s">
        <v>27</v>
      </c>
      <c r="F129" t="s">
        <v>31</v>
      </c>
      <c r="G129" t="s">
        <v>23</v>
      </c>
      <c r="H129" s="3">
        <v>84803</v>
      </c>
      <c r="I129" s="3">
        <v>65605</v>
      </c>
      <c r="J129" s="3">
        <v>45628</v>
      </c>
      <c r="K129" s="3">
        <v>1184</v>
      </c>
      <c r="L129" s="3">
        <v>146</v>
      </c>
      <c r="M129" s="3">
        <v>110</v>
      </c>
      <c r="N129" s="3">
        <v>289</v>
      </c>
      <c r="O129" s="3">
        <v>258</v>
      </c>
      <c r="P129" s="3"/>
      <c r="Q129" s="3">
        <v>1729</v>
      </c>
      <c r="R129" s="4">
        <v>3.79</v>
      </c>
      <c r="S129" s="6">
        <f>GlowNestSocialTable[[#This Row],[Link Clicks]]/GlowNestSocialTable[[#This Row],[Reach]]</f>
        <v>5.6544227228894541E-3</v>
      </c>
    </row>
    <row r="130" spans="1:19">
      <c r="A130" t="s">
        <v>162</v>
      </c>
      <c r="B130" s="2">
        <v>45733</v>
      </c>
      <c r="C130" t="s">
        <v>19</v>
      </c>
      <c r="D130" t="s">
        <v>34</v>
      </c>
      <c r="E130" t="s">
        <v>25</v>
      </c>
      <c r="F130" t="s">
        <v>42</v>
      </c>
      <c r="G130" t="s">
        <v>38</v>
      </c>
      <c r="H130" s="3">
        <v>68434</v>
      </c>
      <c r="I130" s="3">
        <v>44003</v>
      </c>
      <c r="J130" s="3">
        <v>29888</v>
      </c>
      <c r="K130" s="3">
        <v>486</v>
      </c>
      <c r="L130" s="3">
        <v>57</v>
      </c>
      <c r="M130" s="3">
        <v>55</v>
      </c>
      <c r="N130" s="3">
        <v>26</v>
      </c>
      <c r="O130" s="3">
        <v>306</v>
      </c>
      <c r="P130" s="3"/>
      <c r="Q130" s="3">
        <v>624</v>
      </c>
      <c r="R130" s="4">
        <v>2.09</v>
      </c>
      <c r="S130" s="6">
        <f>GlowNestSocialTable[[#This Row],[Link Clicks]]/GlowNestSocialTable[[#This Row],[Reach]]</f>
        <v>1.0238222698072804E-2</v>
      </c>
    </row>
    <row r="131" spans="1:19">
      <c r="A131" t="s">
        <v>163</v>
      </c>
      <c r="B131" s="2">
        <v>45733</v>
      </c>
      <c r="C131" t="s">
        <v>36</v>
      </c>
      <c r="D131" t="s">
        <v>30</v>
      </c>
      <c r="E131" t="s">
        <v>46</v>
      </c>
      <c r="F131" t="s">
        <v>42</v>
      </c>
      <c r="G131" t="s">
        <v>38</v>
      </c>
      <c r="H131" s="3">
        <v>82123</v>
      </c>
      <c r="I131" s="3">
        <v>65879</v>
      </c>
      <c r="J131" s="3">
        <v>50953</v>
      </c>
      <c r="K131" s="3">
        <v>686</v>
      </c>
      <c r="L131" s="3">
        <v>98</v>
      </c>
      <c r="M131" s="3">
        <v>105</v>
      </c>
      <c r="N131" s="3">
        <v>68</v>
      </c>
      <c r="O131" s="3">
        <v>294</v>
      </c>
      <c r="P131" s="3"/>
      <c r="Q131" s="3">
        <v>957</v>
      </c>
      <c r="R131" s="4">
        <v>1.88</v>
      </c>
      <c r="S131" s="6">
        <f>GlowNestSocialTable[[#This Row],[Link Clicks]]/GlowNestSocialTable[[#This Row],[Reach]]</f>
        <v>5.7700233548564359E-3</v>
      </c>
    </row>
    <row r="132" spans="1:19">
      <c r="A132" t="s">
        <v>164</v>
      </c>
      <c r="B132" s="2">
        <v>45734</v>
      </c>
      <c r="C132" t="s">
        <v>19</v>
      </c>
      <c r="D132" t="s">
        <v>30</v>
      </c>
      <c r="E132" t="s">
        <v>27</v>
      </c>
      <c r="F132" t="s">
        <v>44</v>
      </c>
      <c r="G132" t="s">
        <v>23</v>
      </c>
      <c r="H132" s="3">
        <v>71604</v>
      </c>
      <c r="I132" s="3">
        <v>35641</v>
      </c>
      <c r="J132" s="3">
        <v>30697</v>
      </c>
      <c r="K132" s="3">
        <v>991</v>
      </c>
      <c r="L132" s="3">
        <v>119</v>
      </c>
      <c r="M132" s="3">
        <v>148</v>
      </c>
      <c r="N132" s="3">
        <v>234</v>
      </c>
      <c r="O132" s="3">
        <v>421</v>
      </c>
      <c r="P132" s="3"/>
      <c r="Q132" s="3">
        <v>1492</v>
      </c>
      <c r="R132" s="4">
        <v>4.8600000000000003</v>
      </c>
      <c r="S132" s="6">
        <f>GlowNestSocialTable[[#This Row],[Link Clicks]]/GlowNestSocialTable[[#This Row],[Reach]]</f>
        <v>1.371469524709255E-2</v>
      </c>
    </row>
    <row r="133" spans="1:19">
      <c r="A133" t="s">
        <v>165</v>
      </c>
      <c r="B133" s="2">
        <v>45735</v>
      </c>
      <c r="C133" t="s">
        <v>36</v>
      </c>
      <c r="D133" t="s">
        <v>20</v>
      </c>
      <c r="E133" t="s">
        <v>49</v>
      </c>
      <c r="F133" t="s">
        <v>31</v>
      </c>
      <c r="G133" t="s">
        <v>23</v>
      </c>
      <c r="H133" s="3">
        <v>81956</v>
      </c>
      <c r="I133" s="3">
        <v>70868</v>
      </c>
      <c r="J133" s="3">
        <v>52158</v>
      </c>
      <c r="K133" s="3">
        <v>1028</v>
      </c>
      <c r="L133" s="3">
        <v>194</v>
      </c>
      <c r="M133" s="3">
        <v>138</v>
      </c>
      <c r="N133" s="3">
        <v>282</v>
      </c>
      <c r="O133" s="3">
        <v>154</v>
      </c>
      <c r="P133" s="3">
        <v>41028</v>
      </c>
      <c r="Q133" s="3">
        <v>1642</v>
      </c>
      <c r="R133" s="4">
        <v>3.15</v>
      </c>
      <c r="S133" s="6">
        <f>GlowNestSocialTable[[#This Row],[Link Clicks]]/GlowNestSocialTable[[#This Row],[Reach]]</f>
        <v>2.952567199662564E-3</v>
      </c>
    </row>
    <row r="134" spans="1:19">
      <c r="A134" t="s">
        <v>166</v>
      </c>
      <c r="B134" s="2">
        <v>45735</v>
      </c>
      <c r="C134" t="s">
        <v>19</v>
      </c>
      <c r="D134" t="s">
        <v>20</v>
      </c>
      <c r="E134" t="s">
        <v>27</v>
      </c>
      <c r="F134" t="s">
        <v>42</v>
      </c>
      <c r="G134" t="s">
        <v>23</v>
      </c>
      <c r="H134" s="3">
        <v>69537</v>
      </c>
      <c r="I134" s="3">
        <v>35366</v>
      </c>
      <c r="J134" s="3">
        <v>29541</v>
      </c>
      <c r="K134" s="3">
        <v>1888</v>
      </c>
      <c r="L134" s="3">
        <v>278</v>
      </c>
      <c r="M134" s="3">
        <v>164</v>
      </c>
      <c r="N134" s="3">
        <v>436</v>
      </c>
      <c r="O134" s="3">
        <v>416</v>
      </c>
      <c r="P134" s="3">
        <v>22564</v>
      </c>
      <c r="Q134" s="3">
        <v>2766</v>
      </c>
      <c r="R134" s="4">
        <v>9.36</v>
      </c>
      <c r="S134" s="6">
        <f>GlowNestSocialTable[[#This Row],[Link Clicks]]/GlowNestSocialTable[[#This Row],[Reach]]</f>
        <v>1.4082123150875056E-2</v>
      </c>
    </row>
    <row r="135" spans="1:19">
      <c r="A135" t="s">
        <v>167</v>
      </c>
      <c r="B135" s="2">
        <v>45736</v>
      </c>
      <c r="C135" t="s">
        <v>36</v>
      </c>
      <c r="D135" t="s">
        <v>20</v>
      </c>
      <c r="E135" t="s">
        <v>49</v>
      </c>
      <c r="F135" t="s">
        <v>22</v>
      </c>
      <c r="G135" t="s">
        <v>38</v>
      </c>
      <c r="H135" s="3">
        <v>83552</v>
      </c>
      <c r="I135" s="3">
        <v>121493</v>
      </c>
      <c r="J135" s="3">
        <v>85379</v>
      </c>
      <c r="K135" s="3">
        <v>1444</v>
      </c>
      <c r="L135" s="3">
        <v>194</v>
      </c>
      <c r="M135" s="3">
        <v>229</v>
      </c>
      <c r="N135" s="3">
        <v>114</v>
      </c>
      <c r="O135" s="3">
        <v>398</v>
      </c>
      <c r="P135" s="3">
        <v>49546</v>
      </c>
      <c r="Q135" s="3">
        <v>1981</v>
      </c>
      <c r="R135" s="4">
        <v>2.3199999999999998</v>
      </c>
      <c r="S135" s="6">
        <f>GlowNestSocialTable[[#This Row],[Link Clicks]]/GlowNestSocialTable[[#This Row],[Reach]]</f>
        <v>4.6615678328394573E-3</v>
      </c>
    </row>
    <row r="136" spans="1:19">
      <c r="A136" t="s">
        <v>168</v>
      </c>
      <c r="B136" s="2">
        <v>45736</v>
      </c>
      <c r="C136" t="s">
        <v>33</v>
      </c>
      <c r="D136" t="s">
        <v>20</v>
      </c>
      <c r="E136" t="s">
        <v>46</v>
      </c>
      <c r="F136" t="s">
        <v>31</v>
      </c>
      <c r="G136" t="s">
        <v>23</v>
      </c>
      <c r="H136" s="3">
        <v>31664</v>
      </c>
      <c r="I136" s="3">
        <v>12930</v>
      </c>
      <c r="J136" s="3">
        <v>9115</v>
      </c>
      <c r="K136" s="3">
        <v>330</v>
      </c>
      <c r="L136" s="3">
        <v>56</v>
      </c>
      <c r="M136" s="3">
        <v>37</v>
      </c>
      <c r="N136" s="3">
        <v>110</v>
      </c>
      <c r="O136" s="3">
        <v>163</v>
      </c>
      <c r="P136" s="3">
        <v>6771</v>
      </c>
      <c r="Q136" s="3">
        <v>533</v>
      </c>
      <c r="R136" s="4">
        <v>5.85</v>
      </c>
      <c r="S136" s="6">
        <f>GlowNestSocialTable[[#This Row],[Link Clicks]]/GlowNestSocialTable[[#This Row],[Reach]]</f>
        <v>1.7882611080636313E-2</v>
      </c>
    </row>
    <row r="137" spans="1:19">
      <c r="A137" t="s">
        <v>169</v>
      </c>
      <c r="B137" s="2">
        <v>45737</v>
      </c>
      <c r="C137" t="s">
        <v>19</v>
      </c>
      <c r="D137" t="s">
        <v>34</v>
      </c>
      <c r="E137" t="s">
        <v>25</v>
      </c>
      <c r="F137" t="s">
        <v>31</v>
      </c>
      <c r="G137" t="s">
        <v>38</v>
      </c>
      <c r="H137" s="3">
        <v>69915</v>
      </c>
      <c r="I137" s="3">
        <v>41048</v>
      </c>
      <c r="J137" s="3">
        <v>37478</v>
      </c>
      <c r="K137" s="3">
        <v>513</v>
      </c>
      <c r="L137" s="3">
        <v>88</v>
      </c>
      <c r="M137" s="3">
        <v>68</v>
      </c>
      <c r="N137" s="3">
        <v>54</v>
      </c>
      <c r="O137" s="3">
        <v>438</v>
      </c>
      <c r="P137" s="3"/>
      <c r="Q137" s="3">
        <v>723</v>
      </c>
      <c r="R137" s="4">
        <v>1.93</v>
      </c>
      <c r="S137" s="6">
        <f>GlowNestSocialTable[[#This Row],[Link Clicks]]/GlowNestSocialTable[[#This Row],[Reach]]</f>
        <v>1.1686856289022893E-2</v>
      </c>
    </row>
    <row r="138" spans="1:19">
      <c r="A138" t="s">
        <v>170</v>
      </c>
      <c r="B138" s="2">
        <v>45738</v>
      </c>
      <c r="C138" t="s">
        <v>36</v>
      </c>
      <c r="D138" t="s">
        <v>30</v>
      </c>
      <c r="E138" t="s">
        <v>21</v>
      </c>
      <c r="F138" t="s">
        <v>22</v>
      </c>
      <c r="G138" t="s">
        <v>38</v>
      </c>
      <c r="H138" s="3">
        <v>83783</v>
      </c>
      <c r="I138" s="3">
        <v>77083</v>
      </c>
      <c r="J138" s="3">
        <v>62080</v>
      </c>
      <c r="K138" s="3">
        <v>901</v>
      </c>
      <c r="L138" s="3">
        <v>97</v>
      </c>
      <c r="M138" s="3">
        <v>125</v>
      </c>
      <c r="N138" s="3">
        <v>61</v>
      </c>
      <c r="O138" s="3">
        <v>242</v>
      </c>
      <c r="P138" s="3"/>
      <c r="Q138" s="3">
        <v>1184</v>
      </c>
      <c r="R138" s="4">
        <v>1.91</v>
      </c>
      <c r="S138" s="6">
        <f>GlowNestSocialTable[[#This Row],[Link Clicks]]/GlowNestSocialTable[[#This Row],[Reach]]</f>
        <v>3.8981958762886598E-3</v>
      </c>
    </row>
    <row r="139" spans="1:19">
      <c r="A139" t="s">
        <v>171</v>
      </c>
      <c r="B139" s="2">
        <v>45738</v>
      </c>
      <c r="C139" t="s">
        <v>19</v>
      </c>
      <c r="D139" t="s">
        <v>20</v>
      </c>
      <c r="E139" t="s">
        <v>25</v>
      </c>
      <c r="F139" t="s">
        <v>44</v>
      </c>
      <c r="G139" t="s">
        <v>23</v>
      </c>
      <c r="H139" s="3">
        <v>71012</v>
      </c>
      <c r="I139" s="3">
        <v>34187</v>
      </c>
      <c r="J139" s="3">
        <v>26548</v>
      </c>
      <c r="K139" s="3">
        <v>790</v>
      </c>
      <c r="L139" s="3">
        <v>97</v>
      </c>
      <c r="M139" s="3">
        <v>124</v>
      </c>
      <c r="N139" s="3">
        <v>92</v>
      </c>
      <c r="O139" s="3">
        <v>186</v>
      </c>
      <c r="P139" s="3">
        <v>21334</v>
      </c>
      <c r="Q139" s="3">
        <v>1103</v>
      </c>
      <c r="R139" s="4">
        <v>8.3000000000000007</v>
      </c>
      <c r="S139" s="6">
        <f>GlowNestSocialTable[[#This Row],[Link Clicks]]/GlowNestSocialTable[[#This Row],[Reach]]</f>
        <v>7.0061774898297425E-3</v>
      </c>
    </row>
    <row r="140" spans="1:19">
      <c r="A140" t="s">
        <v>172</v>
      </c>
      <c r="B140" s="2">
        <v>45739</v>
      </c>
      <c r="C140" t="s">
        <v>19</v>
      </c>
      <c r="D140" t="s">
        <v>30</v>
      </c>
      <c r="E140" t="s">
        <v>25</v>
      </c>
      <c r="F140" t="s">
        <v>44</v>
      </c>
      <c r="G140" t="s">
        <v>23</v>
      </c>
      <c r="H140" s="3">
        <v>69103</v>
      </c>
      <c r="I140" s="3">
        <v>28120</v>
      </c>
      <c r="J140" s="3">
        <v>24267</v>
      </c>
      <c r="K140" s="3">
        <v>586</v>
      </c>
      <c r="L140" s="3">
        <v>99</v>
      </c>
      <c r="M140" s="3">
        <v>57</v>
      </c>
      <c r="N140" s="3">
        <v>75</v>
      </c>
      <c r="O140" s="3">
        <v>187</v>
      </c>
      <c r="P140" s="3"/>
      <c r="Q140" s="3">
        <v>817</v>
      </c>
      <c r="R140" s="4">
        <v>3.37</v>
      </c>
      <c r="S140" s="6">
        <f>GlowNestSocialTable[[#This Row],[Link Clicks]]/GlowNestSocialTable[[#This Row],[Reach]]</f>
        <v>7.7059381052458067E-3</v>
      </c>
    </row>
    <row r="141" spans="1:19">
      <c r="A141" t="s">
        <v>173</v>
      </c>
      <c r="B141" s="2">
        <v>45740</v>
      </c>
      <c r="C141" t="s">
        <v>36</v>
      </c>
      <c r="D141" t="s">
        <v>20</v>
      </c>
      <c r="E141" t="s">
        <v>21</v>
      </c>
      <c r="F141" t="s">
        <v>31</v>
      </c>
      <c r="G141" t="s">
        <v>38</v>
      </c>
      <c r="H141" s="3">
        <v>83904</v>
      </c>
      <c r="I141" s="3">
        <v>82354</v>
      </c>
      <c r="J141" s="3">
        <v>65603</v>
      </c>
      <c r="K141" s="3">
        <v>1572</v>
      </c>
      <c r="L141" s="3">
        <v>278</v>
      </c>
      <c r="M141" s="3">
        <v>186</v>
      </c>
      <c r="N141" s="3">
        <v>205</v>
      </c>
      <c r="O141" s="3">
        <v>382</v>
      </c>
      <c r="P141" s="3">
        <v>44236</v>
      </c>
      <c r="Q141" s="3">
        <v>2241</v>
      </c>
      <c r="R141" s="4">
        <v>3.42</v>
      </c>
      <c r="S141" s="6">
        <f>GlowNestSocialTable[[#This Row],[Link Clicks]]/GlowNestSocialTable[[#This Row],[Reach]]</f>
        <v>5.8229044403457159E-3</v>
      </c>
    </row>
    <row r="142" spans="1:19">
      <c r="A142" t="s">
        <v>174</v>
      </c>
      <c r="B142" s="2">
        <v>45740</v>
      </c>
      <c r="C142" t="s">
        <v>19</v>
      </c>
      <c r="D142" t="s">
        <v>30</v>
      </c>
      <c r="E142" t="s">
        <v>46</v>
      </c>
      <c r="F142" t="s">
        <v>31</v>
      </c>
      <c r="G142" t="s">
        <v>23</v>
      </c>
      <c r="H142" s="3">
        <v>70142</v>
      </c>
      <c r="I142" s="3">
        <v>35255</v>
      </c>
      <c r="J142" s="3">
        <v>23747</v>
      </c>
      <c r="K142" s="3">
        <v>727</v>
      </c>
      <c r="L142" s="3">
        <v>121</v>
      </c>
      <c r="M142" s="3">
        <v>86</v>
      </c>
      <c r="N142" s="3">
        <v>36</v>
      </c>
      <c r="O142" s="3">
        <v>288</v>
      </c>
      <c r="P142" s="3"/>
      <c r="Q142" s="3">
        <v>970</v>
      </c>
      <c r="R142" s="4">
        <v>4.08</v>
      </c>
      <c r="S142" s="6">
        <f>GlowNestSocialTable[[#This Row],[Link Clicks]]/GlowNestSocialTable[[#This Row],[Reach]]</f>
        <v>1.212784772813408E-2</v>
      </c>
    </row>
    <row r="143" spans="1:19">
      <c r="A143" t="s">
        <v>175</v>
      </c>
      <c r="B143" s="2">
        <v>45741</v>
      </c>
      <c r="C143" t="s">
        <v>19</v>
      </c>
      <c r="D143" t="s">
        <v>30</v>
      </c>
      <c r="E143" t="s">
        <v>27</v>
      </c>
      <c r="F143" t="s">
        <v>42</v>
      </c>
      <c r="G143" t="s">
        <v>23</v>
      </c>
      <c r="H143" s="3">
        <v>67159</v>
      </c>
      <c r="I143" s="3">
        <v>38304</v>
      </c>
      <c r="J143" s="3">
        <v>25874</v>
      </c>
      <c r="K143" s="3">
        <v>1113</v>
      </c>
      <c r="L143" s="3">
        <v>164</v>
      </c>
      <c r="M143" s="3">
        <v>188</v>
      </c>
      <c r="N143" s="3">
        <v>201</v>
      </c>
      <c r="O143" s="3">
        <v>268</v>
      </c>
      <c r="P143" s="3"/>
      <c r="Q143" s="3">
        <v>1666</v>
      </c>
      <c r="R143" s="4">
        <v>6.44</v>
      </c>
      <c r="S143" s="6">
        <f>GlowNestSocialTable[[#This Row],[Link Clicks]]/GlowNestSocialTable[[#This Row],[Reach]]</f>
        <v>1.035788822756435E-2</v>
      </c>
    </row>
    <row r="144" spans="1:19">
      <c r="A144" t="s">
        <v>176</v>
      </c>
      <c r="B144" s="2">
        <v>45741</v>
      </c>
      <c r="C144" t="s">
        <v>36</v>
      </c>
      <c r="D144" t="s">
        <v>34</v>
      </c>
      <c r="E144" t="s">
        <v>46</v>
      </c>
      <c r="F144" t="s">
        <v>31</v>
      </c>
      <c r="G144" t="s">
        <v>23</v>
      </c>
      <c r="H144" s="3">
        <v>83320</v>
      </c>
      <c r="I144" s="3">
        <v>38454</v>
      </c>
      <c r="J144" s="3">
        <v>25040</v>
      </c>
      <c r="K144" s="3">
        <v>269</v>
      </c>
      <c r="L144" s="3">
        <v>45</v>
      </c>
      <c r="M144" s="3">
        <v>29</v>
      </c>
      <c r="N144" s="3">
        <v>39</v>
      </c>
      <c r="O144" s="3">
        <v>118</v>
      </c>
      <c r="P144" s="3"/>
      <c r="Q144" s="3">
        <v>382</v>
      </c>
      <c r="R144" s="4">
        <v>1.53</v>
      </c>
      <c r="S144" s="6">
        <f>GlowNestSocialTable[[#This Row],[Link Clicks]]/GlowNestSocialTable[[#This Row],[Reach]]</f>
        <v>4.7124600638977637E-3</v>
      </c>
    </row>
    <row r="145" spans="1:19">
      <c r="A145" t="s">
        <v>177</v>
      </c>
      <c r="B145" s="2">
        <v>45742</v>
      </c>
      <c r="C145" t="s">
        <v>36</v>
      </c>
      <c r="D145" t="s">
        <v>34</v>
      </c>
      <c r="E145" t="s">
        <v>25</v>
      </c>
      <c r="F145" t="s">
        <v>28</v>
      </c>
      <c r="G145" t="s">
        <v>23</v>
      </c>
      <c r="H145" s="3">
        <v>83099</v>
      </c>
      <c r="I145" s="3">
        <v>44860</v>
      </c>
      <c r="J145" s="3">
        <v>31871</v>
      </c>
      <c r="K145" s="3">
        <v>283</v>
      </c>
      <c r="L145" s="3">
        <v>35</v>
      </c>
      <c r="M145" s="3">
        <v>29</v>
      </c>
      <c r="N145" s="3">
        <v>11</v>
      </c>
      <c r="O145" s="3">
        <v>103</v>
      </c>
      <c r="P145" s="3"/>
      <c r="Q145" s="3">
        <v>358</v>
      </c>
      <c r="R145" s="4">
        <v>1.1200000000000001</v>
      </c>
      <c r="S145" s="6">
        <f>GlowNestSocialTable[[#This Row],[Link Clicks]]/GlowNestSocialTable[[#This Row],[Reach]]</f>
        <v>3.2317781054877477E-3</v>
      </c>
    </row>
    <row r="146" spans="1:19">
      <c r="A146" t="s">
        <v>178</v>
      </c>
      <c r="B146" s="2">
        <v>45743</v>
      </c>
      <c r="C146" t="s">
        <v>19</v>
      </c>
      <c r="D146" t="s">
        <v>37</v>
      </c>
      <c r="E146" t="s">
        <v>25</v>
      </c>
      <c r="F146" t="s">
        <v>28</v>
      </c>
      <c r="G146" t="s">
        <v>23</v>
      </c>
      <c r="H146" s="3">
        <v>70266</v>
      </c>
      <c r="I146" s="3">
        <v>38680</v>
      </c>
      <c r="J146" s="3">
        <v>30386</v>
      </c>
      <c r="K146" s="3">
        <v>705</v>
      </c>
      <c r="L146" s="3">
        <v>122</v>
      </c>
      <c r="M146" s="3">
        <v>126</v>
      </c>
      <c r="N146" s="3">
        <v>130</v>
      </c>
      <c r="O146" s="3">
        <v>325</v>
      </c>
      <c r="P146" s="3"/>
      <c r="Q146" s="3">
        <v>1083</v>
      </c>
      <c r="R146" s="4">
        <v>3.56</v>
      </c>
      <c r="S146" s="6">
        <f>GlowNestSocialTable[[#This Row],[Link Clicks]]/GlowNestSocialTable[[#This Row],[Reach]]</f>
        <v>1.069571513196867E-2</v>
      </c>
    </row>
    <row r="147" spans="1:19">
      <c r="A147" t="s">
        <v>179</v>
      </c>
      <c r="B147" s="2">
        <v>45743</v>
      </c>
      <c r="C147" t="s">
        <v>36</v>
      </c>
      <c r="D147" t="s">
        <v>34</v>
      </c>
      <c r="E147" t="s">
        <v>27</v>
      </c>
      <c r="F147" t="s">
        <v>44</v>
      </c>
      <c r="G147" t="s">
        <v>23</v>
      </c>
      <c r="H147" s="3">
        <v>83986</v>
      </c>
      <c r="I147" s="3">
        <v>60179</v>
      </c>
      <c r="J147" s="3">
        <v>39345</v>
      </c>
      <c r="K147" s="3">
        <v>642</v>
      </c>
      <c r="L147" s="3">
        <v>84</v>
      </c>
      <c r="M147" s="3">
        <v>53</v>
      </c>
      <c r="N147" s="3">
        <v>86</v>
      </c>
      <c r="O147" s="3">
        <v>271</v>
      </c>
      <c r="P147" s="3"/>
      <c r="Q147" s="3">
        <v>865</v>
      </c>
      <c r="R147" s="4">
        <v>2.2000000000000002</v>
      </c>
      <c r="S147" s="6">
        <f>GlowNestSocialTable[[#This Row],[Link Clicks]]/GlowNestSocialTable[[#This Row],[Reach]]</f>
        <v>6.8877875206506548E-3</v>
      </c>
    </row>
    <row r="148" spans="1:19">
      <c r="A148" t="s">
        <v>180</v>
      </c>
      <c r="B148" s="2">
        <v>45744</v>
      </c>
      <c r="C148" t="s">
        <v>36</v>
      </c>
      <c r="D148" t="s">
        <v>37</v>
      </c>
      <c r="E148" t="s">
        <v>25</v>
      </c>
      <c r="F148" t="s">
        <v>31</v>
      </c>
      <c r="G148" t="s">
        <v>23</v>
      </c>
      <c r="H148" s="3">
        <v>82975</v>
      </c>
      <c r="I148" s="3">
        <v>49242</v>
      </c>
      <c r="J148" s="3">
        <v>34962</v>
      </c>
      <c r="K148" s="3">
        <v>509</v>
      </c>
      <c r="L148" s="3">
        <v>52</v>
      </c>
      <c r="M148" s="3">
        <v>67</v>
      </c>
      <c r="N148" s="3">
        <v>71</v>
      </c>
      <c r="O148" s="3">
        <v>121</v>
      </c>
      <c r="P148" s="3"/>
      <c r="Q148" s="3">
        <v>699</v>
      </c>
      <c r="R148" s="4">
        <v>2</v>
      </c>
      <c r="S148" s="6">
        <f>GlowNestSocialTable[[#This Row],[Link Clicks]]/GlowNestSocialTable[[#This Row],[Reach]]</f>
        <v>3.4609004061552542E-3</v>
      </c>
    </row>
    <row r="149" spans="1:19">
      <c r="A149" t="s">
        <v>181</v>
      </c>
      <c r="B149" s="2">
        <v>45744</v>
      </c>
      <c r="C149" t="s">
        <v>33</v>
      </c>
      <c r="D149" t="s">
        <v>37</v>
      </c>
      <c r="E149" t="s">
        <v>27</v>
      </c>
      <c r="F149" t="s">
        <v>42</v>
      </c>
      <c r="G149" t="s">
        <v>23</v>
      </c>
      <c r="H149" s="3">
        <v>32218</v>
      </c>
      <c r="I149" s="3">
        <v>8211</v>
      </c>
      <c r="J149" s="3">
        <v>6906</v>
      </c>
      <c r="K149" s="3">
        <v>296</v>
      </c>
      <c r="L149" s="3">
        <v>50</v>
      </c>
      <c r="M149" s="3">
        <v>33</v>
      </c>
      <c r="N149" s="3">
        <v>93</v>
      </c>
      <c r="O149" s="3">
        <v>133</v>
      </c>
      <c r="P149" s="3"/>
      <c r="Q149" s="3">
        <v>472</v>
      </c>
      <c r="R149" s="4">
        <v>6.83</v>
      </c>
      <c r="S149" s="6">
        <f>GlowNestSocialTable[[#This Row],[Link Clicks]]/GlowNestSocialTable[[#This Row],[Reach]]</f>
        <v>1.9258615696495802E-2</v>
      </c>
    </row>
    <row r="150" spans="1:19">
      <c r="A150" t="s">
        <v>182</v>
      </c>
      <c r="B150" s="2">
        <v>45745</v>
      </c>
      <c r="C150" t="s">
        <v>36</v>
      </c>
      <c r="D150" t="s">
        <v>30</v>
      </c>
      <c r="E150" t="s">
        <v>27</v>
      </c>
      <c r="F150" t="s">
        <v>44</v>
      </c>
      <c r="G150" t="s">
        <v>23</v>
      </c>
      <c r="H150" s="3">
        <v>83826</v>
      </c>
      <c r="I150" s="3">
        <v>47323</v>
      </c>
      <c r="J150" s="3">
        <v>40759</v>
      </c>
      <c r="K150" s="3">
        <v>782</v>
      </c>
      <c r="L150" s="3">
        <v>131</v>
      </c>
      <c r="M150" s="3">
        <v>88</v>
      </c>
      <c r="N150" s="3">
        <v>142</v>
      </c>
      <c r="O150" s="3">
        <v>159</v>
      </c>
      <c r="P150" s="3"/>
      <c r="Q150" s="3">
        <v>1143</v>
      </c>
      <c r="R150" s="4">
        <v>2.8</v>
      </c>
      <c r="S150" s="6">
        <f>GlowNestSocialTable[[#This Row],[Link Clicks]]/GlowNestSocialTable[[#This Row],[Reach]]</f>
        <v>3.9009789249000223E-3</v>
      </c>
    </row>
    <row r="151" spans="1:19">
      <c r="A151" t="s">
        <v>183</v>
      </c>
      <c r="B151" s="2">
        <v>45746</v>
      </c>
      <c r="C151" t="s">
        <v>36</v>
      </c>
      <c r="D151" t="s">
        <v>20</v>
      </c>
      <c r="E151" t="s">
        <v>49</v>
      </c>
      <c r="F151" t="s">
        <v>44</v>
      </c>
      <c r="G151" t="s">
        <v>23</v>
      </c>
      <c r="H151" s="3">
        <v>85822</v>
      </c>
      <c r="I151" s="3">
        <v>42402</v>
      </c>
      <c r="J151" s="3">
        <v>35231</v>
      </c>
      <c r="K151" s="3">
        <v>683</v>
      </c>
      <c r="L151" s="3">
        <v>115</v>
      </c>
      <c r="M151" s="3">
        <v>73</v>
      </c>
      <c r="N151" s="3">
        <v>94</v>
      </c>
      <c r="O151" s="3">
        <v>175</v>
      </c>
      <c r="P151" s="3">
        <v>24513</v>
      </c>
      <c r="Q151" s="3">
        <v>965</v>
      </c>
      <c r="R151" s="4">
        <v>2.74</v>
      </c>
      <c r="S151" s="6">
        <f>GlowNestSocialTable[[#This Row],[Link Clicks]]/GlowNestSocialTable[[#This Row],[Reach]]</f>
        <v>4.9672163719451622E-3</v>
      </c>
    </row>
    <row r="152" spans="1:19">
      <c r="A152" t="s">
        <v>184</v>
      </c>
      <c r="B152" s="2">
        <v>45746</v>
      </c>
      <c r="C152" t="s">
        <v>36</v>
      </c>
      <c r="D152" t="s">
        <v>20</v>
      </c>
      <c r="E152" t="s">
        <v>49</v>
      </c>
      <c r="F152" t="s">
        <v>31</v>
      </c>
      <c r="G152" t="s">
        <v>23</v>
      </c>
      <c r="H152" s="3">
        <v>84648</v>
      </c>
      <c r="I152" s="3">
        <v>65129</v>
      </c>
      <c r="J152" s="3">
        <v>51755</v>
      </c>
      <c r="K152" s="3">
        <v>1189</v>
      </c>
      <c r="L152" s="3">
        <v>209</v>
      </c>
      <c r="M152" s="3">
        <v>138</v>
      </c>
      <c r="N152" s="3">
        <v>212</v>
      </c>
      <c r="O152" s="3">
        <v>214</v>
      </c>
      <c r="P152" s="3">
        <v>31804</v>
      </c>
      <c r="Q152" s="3">
        <v>1748</v>
      </c>
      <c r="R152" s="4">
        <v>3.38</v>
      </c>
      <c r="S152" s="6">
        <f>GlowNestSocialTable[[#This Row],[Link Clicks]]/GlowNestSocialTable[[#This Row],[Reach]]</f>
        <v>4.1348661965027534E-3</v>
      </c>
    </row>
    <row r="153" spans="1:19">
      <c r="A153" t="s">
        <v>185</v>
      </c>
      <c r="B153" s="2">
        <v>45747</v>
      </c>
      <c r="C153" t="s">
        <v>33</v>
      </c>
      <c r="D153" t="s">
        <v>37</v>
      </c>
      <c r="E153" t="s">
        <v>25</v>
      </c>
      <c r="F153" t="s">
        <v>44</v>
      </c>
      <c r="G153" t="s">
        <v>23</v>
      </c>
      <c r="H153" s="3">
        <v>32771</v>
      </c>
      <c r="I153" s="3">
        <v>10435</v>
      </c>
      <c r="J153" s="3">
        <v>9405</v>
      </c>
      <c r="K153" s="3">
        <v>178</v>
      </c>
      <c r="L153" s="3">
        <v>28</v>
      </c>
      <c r="M153" s="3">
        <v>20</v>
      </c>
      <c r="N153" s="3">
        <v>22</v>
      </c>
      <c r="O153" s="3">
        <v>83</v>
      </c>
      <c r="P153" s="3"/>
      <c r="Q153" s="3">
        <v>248</v>
      </c>
      <c r="R153" s="4">
        <v>2.64</v>
      </c>
      <c r="S153" s="6">
        <f>GlowNestSocialTable[[#This Row],[Link Clicks]]/GlowNestSocialTable[[#This Row],[Reach]]</f>
        <v>8.8250930356193521E-3</v>
      </c>
    </row>
    <row r="154" spans="1:19">
      <c r="A154" t="s">
        <v>186</v>
      </c>
      <c r="B154" s="2">
        <v>45747</v>
      </c>
      <c r="C154" t="s">
        <v>36</v>
      </c>
      <c r="D154" t="s">
        <v>20</v>
      </c>
      <c r="E154" t="s">
        <v>27</v>
      </c>
      <c r="F154" t="s">
        <v>44</v>
      </c>
      <c r="G154" t="s">
        <v>23</v>
      </c>
      <c r="H154" s="3">
        <v>81114</v>
      </c>
      <c r="I154" s="3">
        <v>62522</v>
      </c>
      <c r="J154" s="3">
        <v>45526</v>
      </c>
      <c r="K154" s="3">
        <v>1368</v>
      </c>
      <c r="L154" s="3">
        <v>225</v>
      </c>
      <c r="M154" s="3">
        <v>202</v>
      </c>
      <c r="N154" s="3">
        <v>54</v>
      </c>
      <c r="O154" s="3">
        <v>283</v>
      </c>
      <c r="P154" s="3">
        <v>28847</v>
      </c>
      <c r="Q154" s="3">
        <v>1849</v>
      </c>
      <c r="R154" s="4">
        <v>4.0599999999999996</v>
      </c>
      <c r="S154" s="6">
        <f>GlowNestSocialTable[[#This Row],[Link Clicks]]/GlowNestSocialTable[[#This Row],[Reach]]</f>
        <v>6.2162280894433953E-3</v>
      </c>
    </row>
    <row r="155" spans="1:19">
      <c r="A155" t="s">
        <v>187</v>
      </c>
      <c r="B155" s="2">
        <v>45748</v>
      </c>
      <c r="C155" t="s">
        <v>19</v>
      </c>
      <c r="D155" t="s">
        <v>37</v>
      </c>
      <c r="E155" t="s">
        <v>27</v>
      </c>
      <c r="F155" t="s">
        <v>42</v>
      </c>
      <c r="G155" t="s">
        <v>38</v>
      </c>
      <c r="H155" s="3">
        <v>69411</v>
      </c>
      <c r="I155" s="3">
        <v>65596</v>
      </c>
      <c r="J155" s="3">
        <v>43267</v>
      </c>
      <c r="K155" s="3">
        <v>1760</v>
      </c>
      <c r="L155" s="3">
        <v>247</v>
      </c>
      <c r="M155" s="3">
        <v>161</v>
      </c>
      <c r="N155" s="3">
        <v>596</v>
      </c>
      <c r="O155" s="3">
        <v>581</v>
      </c>
      <c r="P155" s="3"/>
      <c r="Q155" s="3">
        <v>2764</v>
      </c>
      <c r="R155" s="4">
        <v>6.39</v>
      </c>
      <c r="S155" s="6">
        <f>GlowNestSocialTable[[#This Row],[Link Clicks]]/GlowNestSocialTable[[#This Row],[Reach]]</f>
        <v>1.3428247856333926E-2</v>
      </c>
    </row>
    <row r="156" spans="1:19">
      <c r="A156" t="s">
        <v>188</v>
      </c>
      <c r="B156" s="2">
        <v>45749</v>
      </c>
      <c r="C156" t="s">
        <v>33</v>
      </c>
      <c r="D156" t="s">
        <v>37</v>
      </c>
      <c r="E156" t="s">
        <v>27</v>
      </c>
      <c r="F156" t="s">
        <v>44</v>
      </c>
      <c r="G156" t="s">
        <v>23</v>
      </c>
      <c r="H156" s="3">
        <v>32880</v>
      </c>
      <c r="I156" s="3">
        <v>15869</v>
      </c>
      <c r="J156" s="3">
        <v>11128</v>
      </c>
      <c r="K156" s="3">
        <v>520</v>
      </c>
      <c r="L156" s="3">
        <v>76</v>
      </c>
      <c r="M156" s="3">
        <v>64</v>
      </c>
      <c r="N156" s="3">
        <v>75</v>
      </c>
      <c r="O156" s="3">
        <v>187</v>
      </c>
      <c r="P156" s="3"/>
      <c r="Q156" s="3">
        <v>735</v>
      </c>
      <c r="R156" s="4">
        <v>6.6</v>
      </c>
      <c r="S156" s="6">
        <f>GlowNestSocialTable[[#This Row],[Link Clicks]]/GlowNestSocialTable[[#This Row],[Reach]]</f>
        <v>1.6804457225017971E-2</v>
      </c>
    </row>
    <row r="157" spans="1:19">
      <c r="A157" t="s">
        <v>189</v>
      </c>
      <c r="B157" s="2">
        <v>45749</v>
      </c>
      <c r="C157" t="s">
        <v>33</v>
      </c>
      <c r="D157" t="s">
        <v>37</v>
      </c>
      <c r="E157" t="s">
        <v>49</v>
      </c>
      <c r="F157" t="s">
        <v>42</v>
      </c>
      <c r="G157" t="s">
        <v>38</v>
      </c>
      <c r="H157" s="3">
        <v>36601</v>
      </c>
      <c r="I157" s="3">
        <v>20225</v>
      </c>
      <c r="J157" s="3">
        <v>14556</v>
      </c>
      <c r="K157" s="3">
        <v>362</v>
      </c>
      <c r="L157" s="3">
        <v>48</v>
      </c>
      <c r="M157" s="3">
        <v>47</v>
      </c>
      <c r="N157" s="3">
        <v>56</v>
      </c>
      <c r="O157" s="3">
        <v>139</v>
      </c>
      <c r="P157" s="3"/>
      <c r="Q157" s="3">
        <v>513</v>
      </c>
      <c r="R157" s="4">
        <v>3.52</v>
      </c>
      <c r="S157" s="6">
        <f>GlowNestSocialTable[[#This Row],[Link Clicks]]/GlowNestSocialTable[[#This Row],[Reach]]</f>
        <v>9.5493267381148664E-3</v>
      </c>
    </row>
    <row r="158" spans="1:19">
      <c r="A158" t="s">
        <v>190</v>
      </c>
      <c r="B158" s="2">
        <v>45750</v>
      </c>
      <c r="C158" t="s">
        <v>33</v>
      </c>
      <c r="D158" t="s">
        <v>20</v>
      </c>
      <c r="E158" t="s">
        <v>46</v>
      </c>
      <c r="F158" t="s">
        <v>22</v>
      </c>
      <c r="G158" t="s">
        <v>23</v>
      </c>
      <c r="H158" s="3">
        <v>31677</v>
      </c>
      <c r="I158" s="3">
        <v>13605</v>
      </c>
      <c r="J158" s="3">
        <v>10100</v>
      </c>
      <c r="K158" s="3">
        <v>324</v>
      </c>
      <c r="L158" s="3">
        <v>38</v>
      </c>
      <c r="M158" s="3">
        <v>55</v>
      </c>
      <c r="N158" s="3">
        <v>133</v>
      </c>
      <c r="O158" s="3">
        <v>148</v>
      </c>
      <c r="P158" s="3">
        <v>8515</v>
      </c>
      <c r="Q158" s="3">
        <v>550</v>
      </c>
      <c r="R158" s="4">
        <v>5.45</v>
      </c>
      <c r="S158" s="6">
        <f>GlowNestSocialTable[[#This Row],[Link Clicks]]/GlowNestSocialTable[[#This Row],[Reach]]</f>
        <v>1.4653465346534653E-2</v>
      </c>
    </row>
    <row r="159" spans="1:19">
      <c r="A159" t="s">
        <v>191</v>
      </c>
      <c r="B159" s="2">
        <v>45750</v>
      </c>
      <c r="C159" t="s">
        <v>36</v>
      </c>
      <c r="D159" t="s">
        <v>34</v>
      </c>
      <c r="E159" t="s">
        <v>27</v>
      </c>
      <c r="F159" t="s">
        <v>28</v>
      </c>
      <c r="G159" t="s">
        <v>23</v>
      </c>
      <c r="H159" s="3">
        <v>84062</v>
      </c>
      <c r="I159" s="3">
        <v>33380</v>
      </c>
      <c r="J159" s="3">
        <v>27404</v>
      </c>
      <c r="K159" s="3">
        <v>394</v>
      </c>
      <c r="L159" s="3">
        <v>40</v>
      </c>
      <c r="M159" s="3">
        <v>46</v>
      </c>
      <c r="N159" s="3">
        <v>43</v>
      </c>
      <c r="O159" s="3">
        <v>224</v>
      </c>
      <c r="P159" s="3"/>
      <c r="Q159" s="3">
        <v>523</v>
      </c>
      <c r="R159" s="4">
        <v>1.91</v>
      </c>
      <c r="S159" s="6">
        <f>GlowNestSocialTable[[#This Row],[Link Clicks]]/GlowNestSocialTable[[#This Row],[Reach]]</f>
        <v>8.1739891986571302E-3</v>
      </c>
    </row>
    <row r="160" spans="1:19">
      <c r="A160" t="s">
        <v>192</v>
      </c>
      <c r="B160" s="2">
        <v>45751</v>
      </c>
      <c r="C160" t="s">
        <v>193</v>
      </c>
      <c r="D160" t="s">
        <v>20</v>
      </c>
      <c r="E160" t="s">
        <v>46</v>
      </c>
      <c r="F160" t="s">
        <v>28</v>
      </c>
      <c r="G160" t="s">
        <v>38</v>
      </c>
      <c r="H160" s="3">
        <v>69352</v>
      </c>
      <c r="I160" s="3">
        <v>59092</v>
      </c>
      <c r="J160" s="3">
        <v>47110</v>
      </c>
      <c r="K160" s="3">
        <v>1768</v>
      </c>
      <c r="L160" s="3">
        <v>254</v>
      </c>
      <c r="M160" s="3">
        <v>270</v>
      </c>
      <c r="N160" s="3">
        <v>55</v>
      </c>
      <c r="O160" s="3">
        <v>456</v>
      </c>
      <c r="P160" s="3">
        <v>40519</v>
      </c>
      <c r="Q160" s="3">
        <v>2347</v>
      </c>
      <c r="R160" s="4">
        <v>4.9800000000000004</v>
      </c>
      <c r="S160" s="6">
        <f>GlowNestSocialTable[[#This Row],[Link Clicks]]/GlowNestSocialTable[[#This Row],[Reach]]</f>
        <v>9.6794735724899175E-3</v>
      </c>
    </row>
    <row r="161" spans="1:19">
      <c r="A161" t="s">
        <v>194</v>
      </c>
      <c r="B161" s="2">
        <v>45752</v>
      </c>
      <c r="C161" t="s">
        <v>19</v>
      </c>
      <c r="D161" t="s">
        <v>37</v>
      </c>
      <c r="E161" t="s">
        <v>25</v>
      </c>
      <c r="F161" t="s">
        <v>22</v>
      </c>
      <c r="G161" t="s">
        <v>38</v>
      </c>
      <c r="H161" s="3">
        <v>68717</v>
      </c>
      <c r="I161" s="3">
        <v>61435</v>
      </c>
      <c r="J161" s="3">
        <v>42560</v>
      </c>
      <c r="K161" s="3">
        <v>1057</v>
      </c>
      <c r="L161" s="3">
        <v>107</v>
      </c>
      <c r="M161" s="3">
        <v>134</v>
      </c>
      <c r="N161" s="3">
        <v>86</v>
      </c>
      <c r="O161" s="3">
        <v>389</v>
      </c>
      <c r="P161" s="3"/>
      <c r="Q161" s="3">
        <v>1384</v>
      </c>
      <c r="R161" s="4">
        <v>3.25</v>
      </c>
      <c r="S161" s="6">
        <f>GlowNestSocialTable[[#This Row],[Link Clicks]]/GlowNestSocialTable[[#This Row],[Reach]]</f>
        <v>9.1400375939849621E-3</v>
      </c>
    </row>
    <row r="162" spans="1:19">
      <c r="A162" t="s">
        <v>195</v>
      </c>
      <c r="B162" s="2">
        <v>45752</v>
      </c>
      <c r="C162" t="s">
        <v>36</v>
      </c>
      <c r="D162" t="s">
        <v>30</v>
      </c>
      <c r="E162" t="s">
        <v>49</v>
      </c>
      <c r="F162" t="s">
        <v>31</v>
      </c>
      <c r="G162" t="s">
        <v>23</v>
      </c>
      <c r="H162" s="3">
        <v>86440</v>
      </c>
      <c r="I162" s="3">
        <v>40727</v>
      </c>
      <c r="J162" s="3">
        <v>31665</v>
      </c>
      <c r="K162" s="3">
        <v>521</v>
      </c>
      <c r="L162" s="3">
        <v>66</v>
      </c>
      <c r="M162" s="3">
        <v>66</v>
      </c>
      <c r="N162" s="3">
        <v>79</v>
      </c>
      <c r="O162" s="3">
        <v>96</v>
      </c>
      <c r="P162" s="3"/>
      <c r="Q162" s="3">
        <v>732</v>
      </c>
      <c r="R162" s="4">
        <v>2.31</v>
      </c>
      <c r="S162" s="6">
        <f>GlowNestSocialTable[[#This Row],[Link Clicks]]/GlowNestSocialTable[[#This Row],[Reach]]</f>
        <v>3.0317385125532923E-3</v>
      </c>
    </row>
    <row r="163" spans="1:19">
      <c r="A163" t="s">
        <v>196</v>
      </c>
      <c r="B163" s="2">
        <v>45753</v>
      </c>
      <c r="C163" t="s">
        <v>36</v>
      </c>
      <c r="D163" t="s">
        <v>34</v>
      </c>
      <c r="E163" t="s">
        <v>27</v>
      </c>
      <c r="F163" t="s">
        <v>31</v>
      </c>
      <c r="G163" t="s">
        <v>23</v>
      </c>
      <c r="H163" s="3">
        <v>84100</v>
      </c>
      <c r="I163" s="3">
        <v>56841</v>
      </c>
      <c r="J163" s="3">
        <v>39944</v>
      </c>
      <c r="K163" s="3">
        <v>642</v>
      </c>
      <c r="L163" s="3">
        <v>80</v>
      </c>
      <c r="M163" s="3">
        <v>56</v>
      </c>
      <c r="N163" s="3">
        <v>125</v>
      </c>
      <c r="O163" s="3">
        <v>237</v>
      </c>
      <c r="P163" s="3"/>
      <c r="Q163" s="3">
        <v>903</v>
      </c>
      <c r="R163" s="4">
        <v>2.2599999999999998</v>
      </c>
      <c r="S163" s="6">
        <f>GlowNestSocialTable[[#This Row],[Link Clicks]]/GlowNestSocialTable[[#This Row],[Reach]]</f>
        <v>5.9333066292809938E-3</v>
      </c>
    </row>
    <row r="164" spans="1:19">
      <c r="A164" t="s">
        <v>197</v>
      </c>
      <c r="B164" s="2">
        <v>45754</v>
      </c>
      <c r="C164" t="s">
        <v>36</v>
      </c>
      <c r="D164" t="s">
        <v>34</v>
      </c>
      <c r="E164" t="s">
        <v>25</v>
      </c>
      <c r="F164" t="s">
        <v>44</v>
      </c>
      <c r="G164" t="s">
        <v>23</v>
      </c>
      <c r="H164" s="3">
        <v>86936</v>
      </c>
      <c r="I164" s="3">
        <v>34514</v>
      </c>
      <c r="J164" s="3">
        <v>25276</v>
      </c>
      <c r="K164" s="3">
        <v>226</v>
      </c>
      <c r="L164" s="3">
        <v>38</v>
      </c>
      <c r="M164" s="3">
        <v>33</v>
      </c>
      <c r="N164" s="3">
        <v>12</v>
      </c>
      <c r="O164" s="3">
        <v>99</v>
      </c>
      <c r="P164" s="3"/>
      <c r="Q164" s="3">
        <v>309</v>
      </c>
      <c r="R164" s="4">
        <v>1.22</v>
      </c>
      <c r="S164" s="6">
        <f>GlowNestSocialTable[[#This Row],[Link Clicks]]/GlowNestSocialTable[[#This Row],[Reach]]</f>
        <v>3.9167589808514003E-3</v>
      </c>
    </row>
    <row r="165" spans="1:19">
      <c r="A165" t="s">
        <v>198</v>
      </c>
      <c r="B165" s="2">
        <v>45754</v>
      </c>
      <c r="C165" t="s">
        <v>36</v>
      </c>
      <c r="D165" t="s">
        <v>34</v>
      </c>
      <c r="E165" t="s">
        <v>49</v>
      </c>
      <c r="F165" t="s">
        <v>44</v>
      </c>
      <c r="G165" t="s">
        <v>23</v>
      </c>
      <c r="H165" s="3">
        <v>84659</v>
      </c>
      <c r="I165" s="3">
        <v>42265</v>
      </c>
      <c r="J165" s="3">
        <v>30078</v>
      </c>
      <c r="K165" s="3">
        <v>313</v>
      </c>
      <c r="L165" s="3">
        <v>60</v>
      </c>
      <c r="M165" s="3">
        <v>52</v>
      </c>
      <c r="N165" s="3">
        <v>27</v>
      </c>
      <c r="O165" s="3">
        <v>135</v>
      </c>
      <c r="P165" s="3"/>
      <c r="Q165" s="3">
        <v>452</v>
      </c>
      <c r="R165" s="4">
        <v>1.5</v>
      </c>
      <c r="S165" s="6">
        <f>GlowNestSocialTable[[#This Row],[Link Clicks]]/GlowNestSocialTable[[#This Row],[Reach]]</f>
        <v>4.4883303411131061E-3</v>
      </c>
    </row>
    <row r="166" spans="1:19">
      <c r="A166" t="s">
        <v>199</v>
      </c>
      <c r="B166" s="2">
        <v>45755</v>
      </c>
      <c r="C166" t="s">
        <v>19</v>
      </c>
      <c r="D166" t="s">
        <v>34</v>
      </c>
      <c r="E166" t="s">
        <v>27</v>
      </c>
      <c r="F166" t="s">
        <v>31</v>
      </c>
      <c r="G166" t="s">
        <v>23</v>
      </c>
      <c r="H166" s="3">
        <v>69144</v>
      </c>
      <c r="I166" s="3">
        <v>22417</v>
      </c>
      <c r="J166" s="3">
        <v>15633</v>
      </c>
      <c r="K166" s="3">
        <v>503</v>
      </c>
      <c r="L166" s="3">
        <v>66</v>
      </c>
      <c r="M166" s="3">
        <v>53</v>
      </c>
      <c r="N166" s="3">
        <v>150</v>
      </c>
      <c r="O166" s="3">
        <v>236</v>
      </c>
      <c r="P166" s="3"/>
      <c r="Q166" s="3">
        <v>772</v>
      </c>
      <c r="R166" s="4">
        <v>4.9400000000000004</v>
      </c>
      <c r="S166" s="6">
        <f>GlowNestSocialTable[[#This Row],[Link Clicks]]/GlowNestSocialTable[[#This Row],[Reach]]</f>
        <v>1.5096270709396788E-2</v>
      </c>
    </row>
    <row r="167" spans="1:19">
      <c r="A167" t="s">
        <v>200</v>
      </c>
      <c r="B167" s="2">
        <v>45755</v>
      </c>
      <c r="C167" t="s">
        <v>33</v>
      </c>
      <c r="D167" t="s">
        <v>34</v>
      </c>
      <c r="E167" t="s">
        <v>49</v>
      </c>
      <c r="F167" t="s">
        <v>42</v>
      </c>
      <c r="G167" t="s">
        <v>23</v>
      </c>
      <c r="H167" s="3">
        <v>34097</v>
      </c>
      <c r="I167" s="3">
        <v>12113</v>
      </c>
      <c r="J167" s="3">
        <v>7999</v>
      </c>
      <c r="K167" s="3">
        <v>202</v>
      </c>
      <c r="L167" s="3">
        <v>22</v>
      </c>
      <c r="M167" s="3">
        <v>23</v>
      </c>
      <c r="N167" s="3">
        <v>16</v>
      </c>
      <c r="O167" s="3">
        <v>96</v>
      </c>
      <c r="P167" s="3"/>
      <c r="Q167" s="3">
        <v>263</v>
      </c>
      <c r="R167" s="4">
        <v>3.29</v>
      </c>
      <c r="S167" s="6">
        <f>GlowNestSocialTable[[#This Row],[Link Clicks]]/GlowNestSocialTable[[#This Row],[Reach]]</f>
        <v>1.2001500187523441E-2</v>
      </c>
    </row>
    <row r="168" spans="1:19">
      <c r="A168" t="s">
        <v>201</v>
      </c>
      <c r="B168" s="2">
        <v>45756</v>
      </c>
      <c r="C168" t="s">
        <v>36</v>
      </c>
      <c r="D168" t="s">
        <v>20</v>
      </c>
      <c r="E168" t="s">
        <v>27</v>
      </c>
      <c r="F168" t="s">
        <v>42</v>
      </c>
      <c r="G168" t="s">
        <v>38</v>
      </c>
      <c r="H168" s="3">
        <v>87519</v>
      </c>
      <c r="I168" s="3">
        <v>148481</v>
      </c>
      <c r="J168" s="3">
        <v>96601</v>
      </c>
      <c r="K168" s="3">
        <v>1896</v>
      </c>
      <c r="L168" s="3">
        <v>204</v>
      </c>
      <c r="M168" s="3">
        <v>236</v>
      </c>
      <c r="N168" s="3">
        <v>1074</v>
      </c>
      <c r="O168" s="3">
        <v>432</v>
      </c>
      <c r="P168" s="3">
        <v>60933</v>
      </c>
      <c r="Q168" s="3">
        <v>3410</v>
      </c>
      <c r="R168" s="4">
        <v>3.53</v>
      </c>
      <c r="S168" s="6">
        <f>GlowNestSocialTable[[#This Row],[Link Clicks]]/GlowNestSocialTable[[#This Row],[Reach]]</f>
        <v>4.4720033954099856E-3</v>
      </c>
    </row>
    <row r="169" spans="1:19">
      <c r="A169" t="s">
        <v>202</v>
      </c>
      <c r="B169" s="2">
        <v>45757</v>
      </c>
      <c r="C169" t="s">
        <v>19</v>
      </c>
      <c r="D169" t="s">
        <v>37</v>
      </c>
      <c r="E169" t="s">
        <v>25</v>
      </c>
      <c r="F169" t="s">
        <v>28</v>
      </c>
      <c r="G169" t="s">
        <v>23</v>
      </c>
      <c r="H169" s="3">
        <v>69814</v>
      </c>
      <c r="I169" s="3">
        <v>32621</v>
      </c>
      <c r="J169" s="3">
        <v>24124</v>
      </c>
      <c r="K169" s="3">
        <v>571</v>
      </c>
      <c r="L169" s="3">
        <v>110</v>
      </c>
      <c r="M169" s="3">
        <v>61</v>
      </c>
      <c r="N169" s="3">
        <v>107</v>
      </c>
      <c r="O169" s="3">
        <v>206</v>
      </c>
      <c r="P169" s="3"/>
      <c r="Q169" s="3">
        <v>849</v>
      </c>
      <c r="R169" s="4">
        <v>3.52</v>
      </c>
      <c r="S169" s="6">
        <f>GlowNestSocialTable[[#This Row],[Link Clicks]]/GlowNestSocialTable[[#This Row],[Reach]]</f>
        <v>8.539214060686454E-3</v>
      </c>
    </row>
    <row r="170" spans="1:19">
      <c r="A170" t="s">
        <v>203</v>
      </c>
      <c r="B170" s="2">
        <v>45757</v>
      </c>
      <c r="C170" t="s">
        <v>33</v>
      </c>
      <c r="D170" t="s">
        <v>34</v>
      </c>
      <c r="E170" t="s">
        <v>25</v>
      </c>
      <c r="F170" t="s">
        <v>31</v>
      </c>
      <c r="G170" t="s">
        <v>23</v>
      </c>
      <c r="H170" s="3">
        <v>32036</v>
      </c>
      <c r="I170" s="3">
        <v>7228</v>
      </c>
      <c r="J170" s="3">
        <v>6462</v>
      </c>
      <c r="K170" s="3">
        <v>95</v>
      </c>
      <c r="L170" s="3">
        <v>12</v>
      </c>
      <c r="M170" s="3">
        <v>11</v>
      </c>
      <c r="N170" s="3">
        <v>8</v>
      </c>
      <c r="O170" s="3">
        <v>76</v>
      </c>
      <c r="P170" s="3"/>
      <c r="Q170" s="3">
        <v>126</v>
      </c>
      <c r="R170" s="4">
        <v>1.95</v>
      </c>
      <c r="S170" s="6">
        <f>GlowNestSocialTable[[#This Row],[Link Clicks]]/GlowNestSocialTable[[#This Row],[Reach]]</f>
        <v>1.1761064685855771E-2</v>
      </c>
    </row>
    <row r="171" spans="1:19">
      <c r="A171" t="s">
        <v>204</v>
      </c>
      <c r="B171" s="2">
        <v>45758</v>
      </c>
      <c r="C171" t="s">
        <v>36</v>
      </c>
      <c r="D171" t="s">
        <v>30</v>
      </c>
      <c r="E171" t="s">
        <v>27</v>
      </c>
      <c r="F171" t="s">
        <v>31</v>
      </c>
      <c r="G171" t="s">
        <v>23</v>
      </c>
      <c r="H171" s="3">
        <v>83425</v>
      </c>
      <c r="I171" s="3">
        <v>44403</v>
      </c>
      <c r="J171" s="3">
        <v>31998</v>
      </c>
      <c r="K171" s="3">
        <v>472</v>
      </c>
      <c r="L171" s="3">
        <v>56</v>
      </c>
      <c r="M171" s="3">
        <v>69</v>
      </c>
      <c r="N171" s="3">
        <v>85</v>
      </c>
      <c r="O171" s="3">
        <v>164</v>
      </c>
      <c r="P171" s="3"/>
      <c r="Q171" s="3">
        <v>682</v>
      </c>
      <c r="R171" s="4">
        <v>2.13</v>
      </c>
      <c r="S171" s="6">
        <f>GlowNestSocialTable[[#This Row],[Link Clicks]]/GlowNestSocialTable[[#This Row],[Reach]]</f>
        <v>5.1253203325207827E-3</v>
      </c>
    </row>
    <row r="172" spans="1:19">
      <c r="A172" t="s">
        <v>205</v>
      </c>
      <c r="B172" s="2">
        <v>45758</v>
      </c>
      <c r="C172" t="s">
        <v>19</v>
      </c>
      <c r="D172" t="s">
        <v>20</v>
      </c>
      <c r="E172" t="s">
        <v>49</v>
      </c>
      <c r="F172" t="s">
        <v>31</v>
      </c>
      <c r="G172" t="s">
        <v>23</v>
      </c>
      <c r="H172" s="3">
        <v>70814</v>
      </c>
      <c r="I172" s="3">
        <v>44879</v>
      </c>
      <c r="J172" s="3">
        <v>33374</v>
      </c>
      <c r="K172" s="3">
        <v>1691</v>
      </c>
      <c r="L172" s="3">
        <v>210</v>
      </c>
      <c r="M172" s="3">
        <v>257</v>
      </c>
      <c r="N172" s="3">
        <v>533</v>
      </c>
      <c r="O172" s="3">
        <v>363</v>
      </c>
      <c r="P172" s="3">
        <v>24768</v>
      </c>
      <c r="Q172" s="3">
        <v>2691</v>
      </c>
      <c r="R172" s="4">
        <v>8.06</v>
      </c>
      <c r="S172" s="6">
        <f>GlowNestSocialTable[[#This Row],[Link Clicks]]/GlowNestSocialTable[[#This Row],[Reach]]</f>
        <v>1.0876730388925511E-2</v>
      </c>
    </row>
    <row r="173" spans="1:19">
      <c r="A173" t="s">
        <v>206</v>
      </c>
      <c r="B173" s="2">
        <v>45759</v>
      </c>
      <c r="C173" t="s">
        <v>36</v>
      </c>
      <c r="D173" t="s">
        <v>34</v>
      </c>
      <c r="E173" t="s">
        <v>46</v>
      </c>
      <c r="F173" t="s">
        <v>44</v>
      </c>
      <c r="G173" t="s">
        <v>38</v>
      </c>
      <c r="H173" s="3">
        <v>84419</v>
      </c>
      <c r="I173" s="3">
        <v>46343</v>
      </c>
      <c r="J173" s="3">
        <v>37640</v>
      </c>
      <c r="K173" s="3">
        <v>347</v>
      </c>
      <c r="L173" s="3">
        <v>53</v>
      </c>
      <c r="M173" s="3">
        <v>51</v>
      </c>
      <c r="N173" s="3">
        <v>19</v>
      </c>
      <c r="O173" s="3">
        <v>226</v>
      </c>
      <c r="P173" s="3"/>
      <c r="Q173" s="3">
        <v>470</v>
      </c>
      <c r="R173" s="4">
        <v>1.25</v>
      </c>
      <c r="S173" s="6">
        <f>GlowNestSocialTable[[#This Row],[Link Clicks]]/GlowNestSocialTable[[#This Row],[Reach]]</f>
        <v>6.0042507970244421E-3</v>
      </c>
    </row>
    <row r="174" spans="1:19">
      <c r="A174" t="s">
        <v>207</v>
      </c>
      <c r="B174" s="2">
        <v>45760</v>
      </c>
      <c r="C174" t="s">
        <v>36</v>
      </c>
      <c r="D174" t="s">
        <v>34</v>
      </c>
      <c r="E174" t="s">
        <v>27</v>
      </c>
      <c r="F174" t="s">
        <v>42</v>
      </c>
      <c r="G174" t="s">
        <v>38</v>
      </c>
      <c r="H174" s="3">
        <v>84503</v>
      </c>
      <c r="I174" s="3">
        <v>72089</v>
      </c>
      <c r="J174" s="3">
        <v>58035</v>
      </c>
      <c r="K174" s="3">
        <v>901</v>
      </c>
      <c r="L174" s="3">
        <v>91</v>
      </c>
      <c r="M174" s="3">
        <v>117</v>
      </c>
      <c r="N174" s="3">
        <v>119</v>
      </c>
      <c r="O174" s="3">
        <v>352</v>
      </c>
      <c r="P174" s="3"/>
      <c r="Q174" s="3">
        <v>1228</v>
      </c>
      <c r="R174" s="4">
        <v>2.12</v>
      </c>
      <c r="S174" s="6">
        <f>GlowNestSocialTable[[#This Row],[Link Clicks]]/GlowNestSocialTable[[#This Row],[Reach]]</f>
        <v>6.06530541914362E-3</v>
      </c>
    </row>
    <row r="175" spans="1:19">
      <c r="A175" t="s">
        <v>208</v>
      </c>
      <c r="B175" s="2">
        <v>45760</v>
      </c>
      <c r="C175" t="s">
        <v>36</v>
      </c>
      <c r="D175" t="s">
        <v>20</v>
      </c>
      <c r="E175" t="s">
        <v>25</v>
      </c>
      <c r="F175" t="s">
        <v>22</v>
      </c>
      <c r="G175" t="s">
        <v>23</v>
      </c>
      <c r="H175" s="3">
        <v>85534</v>
      </c>
      <c r="I175" s="3">
        <v>46937</v>
      </c>
      <c r="J175" s="3">
        <v>35571</v>
      </c>
      <c r="K175" s="3">
        <v>547</v>
      </c>
      <c r="L175" s="3">
        <v>73</v>
      </c>
      <c r="M175" s="3">
        <v>74</v>
      </c>
      <c r="N175" s="3">
        <v>105</v>
      </c>
      <c r="O175" s="3">
        <v>172</v>
      </c>
      <c r="P175" s="3">
        <v>22117</v>
      </c>
      <c r="Q175" s="3">
        <v>799</v>
      </c>
      <c r="R175" s="4">
        <v>2.25</v>
      </c>
      <c r="S175" s="6">
        <f>GlowNestSocialTable[[#This Row],[Link Clicks]]/GlowNestSocialTable[[#This Row],[Reach]]</f>
        <v>4.835399623288634E-3</v>
      </c>
    </row>
    <row r="176" spans="1:19">
      <c r="A176" t="s">
        <v>209</v>
      </c>
      <c r="B176" s="2">
        <v>45761</v>
      </c>
      <c r="C176" t="s">
        <v>19</v>
      </c>
      <c r="D176" t="s">
        <v>37</v>
      </c>
      <c r="E176" t="s">
        <v>49</v>
      </c>
      <c r="F176" t="s">
        <v>28</v>
      </c>
      <c r="G176" t="s">
        <v>23</v>
      </c>
      <c r="H176" s="3">
        <v>72000</v>
      </c>
      <c r="I176" s="3">
        <v>29183</v>
      </c>
      <c r="J176" s="3">
        <v>18867</v>
      </c>
      <c r="K176" s="3">
        <v>761</v>
      </c>
      <c r="L176" s="3">
        <v>79</v>
      </c>
      <c r="M176" s="3">
        <v>86</v>
      </c>
      <c r="N176" s="3">
        <v>153</v>
      </c>
      <c r="O176" s="3">
        <v>196</v>
      </c>
      <c r="P176" s="3"/>
      <c r="Q176" s="3">
        <v>1079</v>
      </c>
      <c r="R176" s="4">
        <v>5.72</v>
      </c>
      <c r="S176" s="6">
        <f>GlowNestSocialTable[[#This Row],[Link Clicks]]/GlowNestSocialTable[[#This Row],[Reach]]</f>
        <v>1.0388509036942811E-2</v>
      </c>
    </row>
    <row r="177" spans="1:19">
      <c r="A177" t="s">
        <v>210</v>
      </c>
      <c r="B177" s="2">
        <v>45761</v>
      </c>
      <c r="C177" t="s">
        <v>33</v>
      </c>
      <c r="D177" t="s">
        <v>37</v>
      </c>
      <c r="E177" t="s">
        <v>27</v>
      </c>
      <c r="F177" t="s">
        <v>42</v>
      </c>
      <c r="G177" t="s">
        <v>23</v>
      </c>
      <c r="H177" s="3">
        <v>33421</v>
      </c>
      <c r="I177" s="3">
        <v>15160</v>
      </c>
      <c r="J177" s="3">
        <v>10378</v>
      </c>
      <c r="K177" s="3">
        <v>440</v>
      </c>
      <c r="L177" s="3">
        <v>55</v>
      </c>
      <c r="M177" s="3">
        <v>67</v>
      </c>
      <c r="N177" s="3">
        <v>171</v>
      </c>
      <c r="O177" s="3">
        <v>128</v>
      </c>
      <c r="P177" s="3"/>
      <c r="Q177" s="3">
        <v>733</v>
      </c>
      <c r="R177" s="4">
        <v>7.06</v>
      </c>
      <c r="S177" s="6">
        <f>GlowNestSocialTable[[#This Row],[Link Clicks]]/GlowNestSocialTable[[#This Row],[Reach]]</f>
        <v>1.2333783002505299E-2</v>
      </c>
    </row>
    <row r="178" spans="1:19">
      <c r="A178" t="s">
        <v>212</v>
      </c>
      <c r="B178" s="2">
        <v>45763</v>
      </c>
      <c r="C178" t="s">
        <v>33</v>
      </c>
      <c r="D178" t="s">
        <v>20</v>
      </c>
      <c r="E178" t="s">
        <v>27</v>
      </c>
      <c r="F178" t="s">
        <v>31</v>
      </c>
      <c r="G178" t="s">
        <v>23</v>
      </c>
      <c r="H178" s="3">
        <v>33703</v>
      </c>
      <c r="I178" s="3">
        <v>20211</v>
      </c>
      <c r="J178" s="3">
        <v>13519</v>
      </c>
      <c r="K178" s="3">
        <v>552</v>
      </c>
      <c r="L178" s="3">
        <v>92</v>
      </c>
      <c r="M178" s="3">
        <v>74</v>
      </c>
      <c r="N178" s="3"/>
      <c r="O178" s="3">
        <v>259</v>
      </c>
      <c r="P178" s="3">
        <v>10349</v>
      </c>
      <c r="Q178" s="3">
        <v>847</v>
      </c>
      <c r="R178" s="4">
        <v>6.27</v>
      </c>
      <c r="S178" s="6">
        <f>GlowNestSocialTable[[#This Row],[Link Clicks]]/GlowNestSocialTable[[#This Row],[Reach]]</f>
        <v>1.9158221761964644E-2</v>
      </c>
    </row>
    <row r="179" spans="1:19">
      <c r="A179" t="s">
        <v>213</v>
      </c>
      <c r="B179" s="2">
        <v>45764</v>
      </c>
      <c r="C179" t="s">
        <v>19</v>
      </c>
      <c r="D179" t="s">
        <v>37</v>
      </c>
      <c r="E179" t="s">
        <v>25</v>
      </c>
      <c r="F179" t="s">
        <v>44</v>
      </c>
      <c r="G179" t="s">
        <v>38</v>
      </c>
      <c r="H179" s="3">
        <v>72607</v>
      </c>
      <c r="I179" s="3">
        <v>52229</v>
      </c>
      <c r="J179" s="3">
        <v>45783</v>
      </c>
      <c r="K179" s="3">
        <v>1005</v>
      </c>
      <c r="L179" s="3">
        <v>156</v>
      </c>
      <c r="M179" s="3">
        <v>113</v>
      </c>
      <c r="N179" s="3">
        <v>39</v>
      </c>
      <c r="O179" s="3">
        <v>401</v>
      </c>
      <c r="P179" s="3"/>
      <c r="Q179" s="3">
        <v>1313</v>
      </c>
      <c r="R179" s="4">
        <v>2.87</v>
      </c>
      <c r="S179" s="6">
        <f>GlowNestSocialTable[[#This Row],[Link Clicks]]/GlowNestSocialTable[[#This Row],[Reach]]</f>
        <v>8.7587095646855812E-3</v>
      </c>
    </row>
    <row r="180" spans="1:19">
      <c r="A180" t="s">
        <v>214</v>
      </c>
      <c r="B180" s="2">
        <v>45764</v>
      </c>
      <c r="C180" t="s">
        <v>36</v>
      </c>
      <c r="D180" t="s">
        <v>34</v>
      </c>
      <c r="E180" t="s">
        <v>27</v>
      </c>
      <c r="F180" t="s">
        <v>28</v>
      </c>
      <c r="G180" t="s">
        <v>38</v>
      </c>
      <c r="H180" s="3">
        <v>85465</v>
      </c>
      <c r="I180" s="3">
        <v>63522</v>
      </c>
      <c r="J180" s="3">
        <v>58024</v>
      </c>
      <c r="K180" s="3">
        <v>595</v>
      </c>
      <c r="L180" s="3">
        <v>118</v>
      </c>
      <c r="M180" s="3">
        <v>56</v>
      </c>
      <c r="N180" s="3">
        <v>159</v>
      </c>
      <c r="O180" s="3">
        <v>342</v>
      </c>
      <c r="P180" s="3"/>
      <c r="Q180" s="3">
        <v>928</v>
      </c>
      <c r="R180" s="4">
        <v>1.6</v>
      </c>
      <c r="S180" s="6">
        <f>GlowNestSocialTable[[#This Row],[Link Clicks]]/GlowNestSocialTable[[#This Row],[Reach]]</f>
        <v>5.8941127809182406E-3</v>
      </c>
    </row>
    <row r="181" spans="1:19">
      <c r="A181" t="s">
        <v>215</v>
      </c>
      <c r="B181" s="2">
        <v>45765</v>
      </c>
      <c r="C181" t="s">
        <v>36</v>
      </c>
      <c r="D181" t="s">
        <v>30</v>
      </c>
      <c r="E181" t="s">
        <v>27</v>
      </c>
      <c r="F181" t="s">
        <v>31</v>
      </c>
      <c r="G181" t="s">
        <v>23</v>
      </c>
      <c r="H181" s="3">
        <v>86311</v>
      </c>
      <c r="I181" s="3">
        <v>49018</v>
      </c>
      <c r="J181" s="3">
        <v>44558</v>
      </c>
      <c r="K181" s="3">
        <v>577</v>
      </c>
      <c r="L181" s="3">
        <v>61</v>
      </c>
      <c r="M181" s="3">
        <v>72</v>
      </c>
      <c r="N181" s="3">
        <v>176</v>
      </c>
      <c r="O181" s="3">
        <v>202</v>
      </c>
      <c r="P181" s="3"/>
      <c r="Q181" s="3">
        <v>886</v>
      </c>
      <c r="R181" s="4">
        <v>1.99</v>
      </c>
      <c r="S181" s="6">
        <f>GlowNestSocialTable[[#This Row],[Link Clicks]]/GlowNestSocialTable[[#This Row],[Reach]]</f>
        <v>4.5334171192602897E-3</v>
      </c>
    </row>
    <row r="182" spans="1:19">
      <c r="A182" t="s">
        <v>216</v>
      </c>
      <c r="B182" s="2">
        <v>45766</v>
      </c>
      <c r="C182" t="s">
        <v>36</v>
      </c>
      <c r="D182" t="s">
        <v>30</v>
      </c>
      <c r="E182" t="s">
        <v>21</v>
      </c>
      <c r="F182" t="s">
        <v>28</v>
      </c>
      <c r="G182" t="s">
        <v>23</v>
      </c>
      <c r="H182" s="3">
        <v>84280</v>
      </c>
      <c r="I182" s="3">
        <v>33889</v>
      </c>
      <c r="J182" s="3">
        <v>26863</v>
      </c>
      <c r="K182" s="3">
        <v>423</v>
      </c>
      <c r="L182" s="3">
        <v>43</v>
      </c>
      <c r="M182" s="3">
        <v>53</v>
      </c>
      <c r="N182" s="3">
        <v>78</v>
      </c>
      <c r="O182" s="3">
        <v>135</v>
      </c>
      <c r="P182" s="3"/>
      <c r="Q182" s="3">
        <v>597</v>
      </c>
      <c r="R182" s="4">
        <v>2.2200000000000002</v>
      </c>
      <c r="S182" s="6">
        <f>GlowNestSocialTable[[#This Row],[Link Clicks]]/GlowNestSocialTable[[#This Row],[Reach]]</f>
        <v>5.0254997580314927E-3</v>
      </c>
    </row>
    <row r="183" spans="1:19">
      <c r="A183" t="s">
        <v>217</v>
      </c>
      <c r="B183" s="2">
        <v>45766</v>
      </c>
      <c r="C183" t="s">
        <v>36</v>
      </c>
      <c r="D183" t="s">
        <v>34</v>
      </c>
      <c r="E183" t="s">
        <v>46</v>
      </c>
      <c r="F183" t="s">
        <v>22</v>
      </c>
      <c r="G183" t="s">
        <v>38</v>
      </c>
      <c r="H183" s="3">
        <v>83210</v>
      </c>
      <c r="I183" s="3">
        <v>47648</v>
      </c>
      <c r="J183" s="3">
        <v>31528</v>
      </c>
      <c r="K183" s="3">
        <v>357</v>
      </c>
      <c r="L183" s="3">
        <v>40</v>
      </c>
      <c r="M183" s="3">
        <v>32</v>
      </c>
      <c r="N183" s="3">
        <v>65</v>
      </c>
      <c r="O183" s="3">
        <v>188</v>
      </c>
      <c r="P183" s="3"/>
      <c r="Q183" s="3">
        <v>494</v>
      </c>
      <c r="R183" s="4">
        <v>1.57</v>
      </c>
      <c r="S183" s="6">
        <f>GlowNestSocialTable[[#This Row],[Link Clicks]]/GlowNestSocialTable[[#This Row],[Reach]]</f>
        <v>5.962953565085004E-3</v>
      </c>
    </row>
    <row r="184" spans="1:19">
      <c r="A184" t="s">
        <v>218</v>
      </c>
      <c r="B184" s="2">
        <v>45767</v>
      </c>
      <c r="C184" t="s">
        <v>33</v>
      </c>
      <c r="D184" t="s">
        <v>34</v>
      </c>
      <c r="E184" t="s">
        <v>21</v>
      </c>
      <c r="F184" t="s">
        <v>44</v>
      </c>
      <c r="G184" t="s">
        <v>23</v>
      </c>
      <c r="H184" s="3">
        <v>33385</v>
      </c>
      <c r="I184" s="3">
        <v>7809</v>
      </c>
      <c r="J184" s="3">
        <v>6727</v>
      </c>
      <c r="K184" s="3">
        <v>146</v>
      </c>
      <c r="L184" s="3">
        <v>22</v>
      </c>
      <c r="M184" s="3">
        <v>22</v>
      </c>
      <c r="N184" s="3">
        <v>18</v>
      </c>
      <c r="O184" s="3">
        <v>116</v>
      </c>
      <c r="P184" s="3"/>
      <c r="Q184" s="3">
        <v>208</v>
      </c>
      <c r="R184" s="4">
        <v>3.09</v>
      </c>
      <c r="S184" s="6">
        <f>GlowNestSocialTable[[#This Row],[Link Clicks]]/GlowNestSocialTable[[#This Row],[Reach]]</f>
        <v>1.7243942321986026E-2</v>
      </c>
    </row>
    <row r="185" spans="1:19">
      <c r="A185" t="s">
        <v>219</v>
      </c>
      <c r="B185" s="2">
        <v>45767</v>
      </c>
      <c r="C185" t="s">
        <v>19</v>
      </c>
      <c r="D185" t="s">
        <v>37</v>
      </c>
      <c r="E185" t="s">
        <v>27</v>
      </c>
      <c r="F185" t="s">
        <v>31</v>
      </c>
      <c r="G185" t="s">
        <v>23</v>
      </c>
      <c r="H185" s="3">
        <v>72115</v>
      </c>
      <c r="I185" s="3">
        <v>44086</v>
      </c>
      <c r="J185" s="3">
        <v>32973</v>
      </c>
      <c r="K185" s="3">
        <v>1544</v>
      </c>
      <c r="L185" s="3">
        <v>255</v>
      </c>
      <c r="M185" s="3">
        <v>264</v>
      </c>
      <c r="N185" s="3">
        <v>245</v>
      </c>
      <c r="O185" s="3">
        <v>369</v>
      </c>
      <c r="P185" s="3"/>
      <c r="Q185" s="3">
        <v>2308</v>
      </c>
      <c r="R185" s="4">
        <v>7</v>
      </c>
      <c r="S185" s="6">
        <f>GlowNestSocialTable[[#This Row],[Link Clicks]]/GlowNestSocialTable[[#This Row],[Reach]]</f>
        <v>1.1190974433627513E-2</v>
      </c>
    </row>
    <row r="186" spans="1:19">
      <c r="A186" t="s">
        <v>220</v>
      </c>
      <c r="B186" s="2">
        <v>45768</v>
      </c>
      <c r="C186" t="s">
        <v>36</v>
      </c>
      <c r="D186" t="s">
        <v>34</v>
      </c>
      <c r="E186" t="s">
        <v>49</v>
      </c>
      <c r="F186" t="s">
        <v>44</v>
      </c>
      <c r="G186" t="s">
        <v>23</v>
      </c>
      <c r="H186" s="3">
        <v>84415</v>
      </c>
      <c r="I186" s="3">
        <v>49020</v>
      </c>
      <c r="J186" s="3">
        <v>35900</v>
      </c>
      <c r="K186" s="3">
        <v>456</v>
      </c>
      <c r="L186" s="3">
        <v>46</v>
      </c>
      <c r="M186" s="3">
        <v>39</v>
      </c>
      <c r="N186" s="3">
        <v>52</v>
      </c>
      <c r="O186" s="3">
        <v>160</v>
      </c>
      <c r="P186" s="3"/>
      <c r="Q186" s="3">
        <v>593</v>
      </c>
      <c r="R186" s="4">
        <v>1.65</v>
      </c>
      <c r="S186" s="6">
        <f>GlowNestSocialTable[[#This Row],[Link Clicks]]/GlowNestSocialTable[[#This Row],[Reach]]</f>
        <v>4.4568245125348191E-3</v>
      </c>
    </row>
    <row r="187" spans="1:19">
      <c r="A187" t="s">
        <v>221</v>
      </c>
      <c r="B187" s="2">
        <v>45769</v>
      </c>
      <c r="C187" t="s">
        <v>19</v>
      </c>
      <c r="D187" t="s">
        <v>20</v>
      </c>
      <c r="E187" t="s">
        <v>25</v>
      </c>
      <c r="F187" t="s">
        <v>44</v>
      </c>
      <c r="G187" t="s">
        <v>23</v>
      </c>
      <c r="H187" s="3">
        <v>69969</v>
      </c>
      <c r="I187" s="3">
        <v>43833</v>
      </c>
      <c r="J187" s="3">
        <v>38689</v>
      </c>
      <c r="K187" s="3">
        <v>934</v>
      </c>
      <c r="L187" s="3">
        <v>138</v>
      </c>
      <c r="M187" s="3">
        <v>108</v>
      </c>
      <c r="N187" s="3">
        <v>273</v>
      </c>
      <c r="O187" s="3">
        <v>334</v>
      </c>
      <c r="P187" s="3">
        <v>33781</v>
      </c>
      <c r="Q187" s="3">
        <v>1453</v>
      </c>
      <c r="R187" s="4">
        <v>3.76</v>
      </c>
      <c r="S187" s="6">
        <f>GlowNestSocialTable[[#This Row],[Link Clicks]]/GlowNestSocialTable[[#This Row],[Reach]]</f>
        <v>8.6329447646617905E-3</v>
      </c>
    </row>
    <row r="188" spans="1:19">
      <c r="A188" t="s">
        <v>222</v>
      </c>
      <c r="B188" s="2">
        <v>45769</v>
      </c>
      <c r="C188" t="s">
        <v>19</v>
      </c>
      <c r="D188" t="s">
        <v>30</v>
      </c>
      <c r="E188" t="s">
        <v>25</v>
      </c>
      <c r="F188" t="s">
        <v>31</v>
      </c>
      <c r="G188" t="s">
        <v>23</v>
      </c>
      <c r="H188" s="3">
        <v>68994</v>
      </c>
      <c r="I188" s="3">
        <v>28659</v>
      </c>
      <c r="J188" s="3">
        <v>24892</v>
      </c>
      <c r="K188" s="3">
        <v>411</v>
      </c>
      <c r="L188" s="3">
        <v>56</v>
      </c>
      <c r="M188" s="3">
        <v>54</v>
      </c>
      <c r="N188" s="3">
        <v>60</v>
      </c>
      <c r="O188" s="3">
        <v>156</v>
      </c>
      <c r="P188" s="3"/>
      <c r="Q188" s="3">
        <v>581</v>
      </c>
      <c r="R188" s="4">
        <v>2.33</v>
      </c>
      <c r="S188" s="6">
        <f>GlowNestSocialTable[[#This Row],[Link Clicks]]/GlowNestSocialTable[[#This Row],[Reach]]</f>
        <v>6.2670737586373133E-3</v>
      </c>
    </row>
    <row r="189" spans="1:19">
      <c r="A189" t="s">
        <v>223</v>
      </c>
      <c r="B189" s="2">
        <v>45770</v>
      </c>
      <c r="C189" t="s">
        <v>33</v>
      </c>
      <c r="D189" t="s">
        <v>34</v>
      </c>
      <c r="E189" t="s">
        <v>25</v>
      </c>
      <c r="F189" t="s">
        <v>22</v>
      </c>
      <c r="G189" t="s">
        <v>23</v>
      </c>
      <c r="H189" s="3">
        <v>33622</v>
      </c>
      <c r="I189" s="3">
        <v>13025</v>
      </c>
      <c r="J189" s="3">
        <v>8563</v>
      </c>
      <c r="K189" s="3">
        <v>104</v>
      </c>
      <c r="L189" s="3">
        <v>15</v>
      </c>
      <c r="M189" s="3">
        <v>13</v>
      </c>
      <c r="N189" s="3">
        <v>10</v>
      </c>
      <c r="O189" s="3">
        <v>112</v>
      </c>
      <c r="P189" s="3"/>
      <c r="Q189" s="3">
        <v>142</v>
      </c>
      <c r="R189" s="4">
        <v>1.66</v>
      </c>
      <c r="S189" s="6">
        <f>GlowNestSocialTable[[#This Row],[Link Clicks]]/GlowNestSocialTable[[#This Row],[Reach]]</f>
        <v>1.3079528202732687E-2</v>
      </c>
    </row>
    <row r="190" spans="1:19">
      <c r="A190" t="s">
        <v>224</v>
      </c>
      <c r="B190" s="2">
        <v>45771</v>
      </c>
      <c r="C190" t="s">
        <v>19</v>
      </c>
      <c r="D190" t="s">
        <v>20</v>
      </c>
      <c r="E190" t="s">
        <v>27</v>
      </c>
      <c r="F190" t="s">
        <v>31</v>
      </c>
      <c r="G190" t="s">
        <v>23</v>
      </c>
      <c r="H190" s="3">
        <v>71271</v>
      </c>
      <c r="I190" s="3">
        <v>53216</v>
      </c>
      <c r="J190" s="3">
        <v>37721</v>
      </c>
      <c r="K190" s="3">
        <v>2412</v>
      </c>
      <c r="L190" s="3">
        <v>334</v>
      </c>
      <c r="M190" s="3">
        <v>336</v>
      </c>
      <c r="N190" s="3">
        <v>305</v>
      </c>
      <c r="O190" s="3">
        <v>614</v>
      </c>
      <c r="P190" s="3">
        <v>32856</v>
      </c>
      <c r="Q190" s="3">
        <v>3387</v>
      </c>
      <c r="R190" s="4">
        <v>8.98</v>
      </c>
      <c r="S190" s="6">
        <f>GlowNestSocialTable[[#This Row],[Link Clicks]]/GlowNestSocialTable[[#This Row],[Reach]]</f>
        <v>1.6277405158930038E-2</v>
      </c>
    </row>
    <row r="191" spans="1:19">
      <c r="A191" t="s">
        <v>225</v>
      </c>
      <c r="B191" s="2">
        <v>45771</v>
      </c>
      <c r="C191" t="s">
        <v>33</v>
      </c>
      <c r="D191" t="s">
        <v>34</v>
      </c>
      <c r="E191" t="s">
        <v>25</v>
      </c>
      <c r="F191" t="s">
        <v>28</v>
      </c>
      <c r="G191" t="s">
        <v>23</v>
      </c>
      <c r="H191" s="3">
        <v>33168</v>
      </c>
      <c r="I191" s="3">
        <v>8551</v>
      </c>
      <c r="J191" s="3">
        <v>7325</v>
      </c>
      <c r="K191" s="3">
        <v>105</v>
      </c>
      <c r="L191" s="3">
        <v>10</v>
      </c>
      <c r="M191" s="3">
        <v>14</v>
      </c>
      <c r="N191" s="3">
        <v>4</v>
      </c>
      <c r="O191" s="3">
        <v>74</v>
      </c>
      <c r="P191" s="3"/>
      <c r="Q191" s="3">
        <v>133</v>
      </c>
      <c r="R191" s="4">
        <v>1.82</v>
      </c>
      <c r="S191" s="6">
        <f>GlowNestSocialTable[[#This Row],[Link Clicks]]/GlowNestSocialTable[[#This Row],[Reach]]</f>
        <v>1.0102389078498293E-2</v>
      </c>
    </row>
    <row r="192" spans="1:19">
      <c r="A192" t="s">
        <v>226</v>
      </c>
      <c r="B192" s="2">
        <v>45772</v>
      </c>
      <c r="C192" t="s">
        <v>19</v>
      </c>
      <c r="D192" t="s">
        <v>30</v>
      </c>
      <c r="E192" t="s">
        <v>46</v>
      </c>
      <c r="F192" t="s">
        <v>42</v>
      </c>
      <c r="G192" t="s">
        <v>23</v>
      </c>
      <c r="H192" s="3">
        <v>66135</v>
      </c>
      <c r="I192" s="3">
        <v>21934</v>
      </c>
      <c r="J192" s="3">
        <v>16830</v>
      </c>
      <c r="K192" s="3">
        <v>638</v>
      </c>
      <c r="L192" s="3">
        <v>93</v>
      </c>
      <c r="M192" s="3">
        <v>100</v>
      </c>
      <c r="N192" s="3">
        <v>35</v>
      </c>
      <c r="O192" s="3">
        <v>226</v>
      </c>
      <c r="P192" s="3"/>
      <c r="Q192" s="3">
        <v>866</v>
      </c>
      <c r="R192" s="4">
        <v>5.15</v>
      </c>
      <c r="S192" s="6">
        <f>GlowNestSocialTable[[#This Row],[Link Clicks]]/GlowNestSocialTable[[#This Row],[Reach]]</f>
        <v>1.3428401663695782E-2</v>
      </c>
    </row>
    <row r="193" spans="1:19">
      <c r="A193" t="s">
        <v>227</v>
      </c>
      <c r="B193" s="2">
        <v>45772</v>
      </c>
      <c r="C193" t="s">
        <v>33</v>
      </c>
      <c r="D193" t="s">
        <v>20</v>
      </c>
      <c r="E193" t="s">
        <v>27</v>
      </c>
      <c r="F193" t="s">
        <v>22</v>
      </c>
      <c r="G193" t="s">
        <v>38</v>
      </c>
      <c r="H193" s="3">
        <v>32390</v>
      </c>
      <c r="I193" s="3">
        <v>28000</v>
      </c>
      <c r="J193" s="3">
        <v>21202</v>
      </c>
      <c r="K193" s="3">
        <v>780</v>
      </c>
      <c r="L193" s="3">
        <v>98</v>
      </c>
      <c r="M193" s="3">
        <v>70</v>
      </c>
      <c r="N193" s="3">
        <v>180</v>
      </c>
      <c r="O193" s="3">
        <v>292</v>
      </c>
      <c r="P193" s="3">
        <v>12702</v>
      </c>
      <c r="Q193" s="3">
        <v>1128</v>
      </c>
      <c r="R193" s="4">
        <v>5.32</v>
      </c>
      <c r="S193" s="6">
        <f>GlowNestSocialTable[[#This Row],[Link Clicks]]/GlowNestSocialTable[[#This Row],[Reach]]</f>
        <v>1.3772285633430808E-2</v>
      </c>
    </row>
    <row r="194" spans="1:19">
      <c r="A194" t="s">
        <v>228</v>
      </c>
      <c r="B194" s="2">
        <v>45773</v>
      </c>
      <c r="C194" t="s">
        <v>19</v>
      </c>
      <c r="D194" t="s">
        <v>20</v>
      </c>
      <c r="E194" t="s">
        <v>27</v>
      </c>
      <c r="F194" t="s">
        <v>44</v>
      </c>
      <c r="G194" t="s">
        <v>23</v>
      </c>
      <c r="H194" s="3">
        <v>71515</v>
      </c>
      <c r="I194" s="3">
        <v>41510</v>
      </c>
      <c r="J194" s="3">
        <v>34064</v>
      </c>
      <c r="K194" s="3">
        <v>2021</v>
      </c>
      <c r="L194" s="3">
        <v>293</v>
      </c>
      <c r="M194" s="3">
        <v>313</v>
      </c>
      <c r="N194" s="3">
        <v>103</v>
      </c>
      <c r="O194" s="3">
        <v>474</v>
      </c>
      <c r="P194" s="3">
        <v>25354</v>
      </c>
      <c r="Q194" s="3">
        <v>2730</v>
      </c>
      <c r="R194" s="4">
        <v>8.01</v>
      </c>
      <c r="S194" s="6">
        <f>GlowNestSocialTable[[#This Row],[Link Clicks]]/GlowNestSocialTable[[#This Row],[Reach]]</f>
        <v>1.3914983560356975E-2</v>
      </c>
    </row>
    <row r="195" spans="1:19">
      <c r="A195" t="s">
        <v>229</v>
      </c>
      <c r="B195" s="2">
        <v>45774</v>
      </c>
      <c r="C195" t="s">
        <v>19</v>
      </c>
      <c r="D195" t="s">
        <v>20</v>
      </c>
      <c r="E195" t="s">
        <v>25</v>
      </c>
      <c r="F195" t="s">
        <v>22</v>
      </c>
      <c r="G195" t="s">
        <v>23</v>
      </c>
      <c r="H195" s="3">
        <v>68709</v>
      </c>
      <c r="I195" s="3">
        <v>37852</v>
      </c>
      <c r="J195" s="3">
        <v>29879</v>
      </c>
      <c r="K195" s="3">
        <v>934</v>
      </c>
      <c r="L195" s="3">
        <v>158</v>
      </c>
      <c r="M195" s="3">
        <v>79</v>
      </c>
      <c r="N195" s="3">
        <v>103</v>
      </c>
      <c r="O195" s="3">
        <v>209</v>
      </c>
      <c r="P195" s="3">
        <v>21252</v>
      </c>
      <c r="Q195" s="3">
        <v>1274</v>
      </c>
      <c r="R195" s="4">
        <v>4.26</v>
      </c>
      <c r="S195" s="6">
        <f>GlowNestSocialTable[[#This Row],[Link Clicks]]/GlowNestSocialTable[[#This Row],[Reach]]</f>
        <v>6.9948793466983504E-3</v>
      </c>
    </row>
    <row r="196" spans="1:19">
      <c r="A196" t="s">
        <v>230</v>
      </c>
      <c r="B196" s="2">
        <v>45774</v>
      </c>
      <c r="C196" t="s">
        <v>33</v>
      </c>
      <c r="D196" t="s">
        <v>20</v>
      </c>
      <c r="E196" t="s">
        <v>21</v>
      </c>
      <c r="F196" t="s">
        <v>42</v>
      </c>
      <c r="G196" t="s">
        <v>38</v>
      </c>
      <c r="H196" s="3">
        <v>32097</v>
      </c>
      <c r="I196" s="3">
        <v>29670</v>
      </c>
      <c r="J196" s="3">
        <v>19192</v>
      </c>
      <c r="K196" s="3">
        <v>519</v>
      </c>
      <c r="L196" s="3">
        <v>77</v>
      </c>
      <c r="M196" s="3">
        <v>77</v>
      </c>
      <c r="N196" s="3">
        <v>171</v>
      </c>
      <c r="O196" s="3">
        <v>235</v>
      </c>
      <c r="P196" s="3">
        <v>13934</v>
      </c>
      <c r="Q196" s="3">
        <v>844</v>
      </c>
      <c r="R196" s="4">
        <v>4.4000000000000004</v>
      </c>
      <c r="S196" s="6">
        <f>GlowNestSocialTable[[#This Row],[Link Clicks]]/GlowNestSocialTable[[#This Row],[Reach]]</f>
        <v>1.224468528553564E-2</v>
      </c>
    </row>
    <row r="197" spans="1:19">
      <c r="A197" t="s">
        <v>231</v>
      </c>
      <c r="B197" s="2">
        <v>45775</v>
      </c>
      <c r="C197" t="s">
        <v>19</v>
      </c>
      <c r="D197" t="s">
        <v>20</v>
      </c>
      <c r="E197" t="s">
        <v>27</v>
      </c>
      <c r="F197" t="s">
        <v>31</v>
      </c>
      <c r="G197" t="s">
        <v>23</v>
      </c>
      <c r="H197" s="3">
        <v>70715</v>
      </c>
      <c r="I197" s="3">
        <v>51287</v>
      </c>
      <c r="J197" s="3">
        <v>34566</v>
      </c>
      <c r="K197" s="3">
        <v>2041</v>
      </c>
      <c r="L197" s="3">
        <v>240</v>
      </c>
      <c r="M197" s="3">
        <v>331</v>
      </c>
      <c r="N197" s="3">
        <v>647</v>
      </c>
      <c r="O197" s="3">
        <v>409</v>
      </c>
      <c r="P197" s="3">
        <v>24377</v>
      </c>
      <c r="Q197" s="3">
        <v>3259</v>
      </c>
      <c r="R197" s="4">
        <v>9.43</v>
      </c>
      <c r="S197" s="6">
        <f>GlowNestSocialTable[[#This Row],[Link Clicks]]/GlowNestSocialTable[[#This Row],[Reach]]</f>
        <v>1.183243649829312E-2</v>
      </c>
    </row>
    <row r="198" spans="1:19">
      <c r="A198" t="s">
        <v>232</v>
      </c>
      <c r="B198" s="2">
        <v>45775</v>
      </c>
      <c r="C198" t="s">
        <v>36</v>
      </c>
      <c r="D198" t="s">
        <v>30</v>
      </c>
      <c r="E198" t="s">
        <v>27</v>
      </c>
      <c r="F198" t="s">
        <v>31</v>
      </c>
      <c r="G198" t="s">
        <v>23</v>
      </c>
      <c r="H198" s="3">
        <v>83748</v>
      </c>
      <c r="I198" s="3">
        <v>31202</v>
      </c>
      <c r="J198" s="3">
        <v>27040</v>
      </c>
      <c r="K198" s="3">
        <v>494</v>
      </c>
      <c r="L198" s="3">
        <v>78</v>
      </c>
      <c r="M198" s="3">
        <v>59</v>
      </c>
      <c r="N198" s="3">
        <v>97</v>
      </c>
      <c r="O198" s="3">
        <v>109</v>
      </c>
      <c r="P198" s="3"/>
      <c r="Q198" s="3">
        <v>728</v>
      </c>
      <c r="R198" s="4">
        <v>2.69</v>
      </c>
      <c r="S198" s="6">
        <f>GlowNestSocialTable[[#This Row],[Link Clicks]]/GlowNestSocialTable[[#This Row],[Reach]]</f>
        <v>4.0310650887573967E-3</v>
      </c>
    </row>
    <row r="199" spans="1:19">
      <c r="A199" t="s">
        <v>233</v>
      </c>
      <c r="B199" s="2">
        <v>45776</v>
      </c>
      <c r="C199" t="s">
        <v>36</v>
      </c>
      <c r="D199" t="s">
        <v>34</v>
      </c>
      <c r="E199" t="s">
        <v>27</v>
      </c>
      <c r="F199" t="s">
        <v>44</v>
      </c>
      <c r="G199" t="s">
        <v>23</v>
      </c>
      <c r="H199" s="3">
        <v>84447</v>
      </c>
      <c r="I199" s="3">
        <v>53550</v>
      </c>
      <c r="J199" s="3">
        <v>40611</v>
      </c>
      <c r="K199" s="3">
        <v>608</v>
      </c>
      <c r="L199" s="3">
        <v>72</v>
      </c>
      <c r="M199" s="3">
        <v>73</v>
      </c>
      <c r="N199" s="3">
        <v>113</v>
      </c>
      <c r="O199" s="3">
        <v>212</v>
      </c>
      <c r="P199" s="3"/>
      <c r="Q199" s="3">
        <v>866</v>
      </c>
      <c r="R199" s="4">
        <v>2.13</v>
      </c>
      <c r="S199" s="6">
        <f>GlowNestSocialTable[[#This Row],[Link Clicks]]/GlowNestSocialTable[[#This Row],[Reach]]</f>
        <v>5.2202605205486198E-3</v>
      </c>
    </row>
    <row r="200" spans="1:19">
      <c r="A200" t="s">
        <v>234</v>
      </c>
      <c r="B200" s="2">
        <v>45777</v>
      </c>
      <c r="C200" t="s">
        <v>19</v>
      </c>
      <c r="D200" t="s">
        <v>30</v>
      </c>
      <c r="E200" t="s">
        <v>49</v>
      </c>
      <c r="F200" t="s">
        <v>22</v>
      </c>
      <c r="G200" t="s">
        <v>235</v>
      </c>
      <c r="H200" s="3">
        <v>69880</v>
      </c>
      <c r="I200" s="3">
        <v>27985</v>
      </c>
      <c r="J200" s="3">
        <v>22992</v>
      </c>
      <c r="K200" s="3">
        <v>843</v>
      </c>
      <c r="L200" s="3">
        <v>110</v>
      </c>
      <c r="M200" s="3">
        <v>93</v>
      </c>
      <c r="N200" s="3">
        <v>87</v>
      </c>
      <c r="O200" s="3">
        <v>147</v>
      </c>
      <c r="P200" s="3"/>
      <c r="Q200" s="3">
        <v>1133</v>
      </c>
      <c r="R200" s="4">
        <v>4.93</v>
      </c>
      <c r="S200" s="6">
        <f>GlowNestSocialTable[[#This Row],[Link Clicks]]/GlowNestSocialTable[[#This Row],[Reach]]</f>
        <v>6.3935281837160752E-3</v>
      </c>
    </row>
    <row r="201" spans="1:19">
      <c r="A201" t="s">
        <v>236</v>
      </c>
      <c r="B201" s="2">
        <v>45777</v>
      </c>
      <c r="C201" t="s">
        <v>19</v>
      </c>
      <c r="D201" t="s">
        <v>20</v>
      </c>
      <c r="E201" t="s">
        <v>25</v>
      </c>
      <c r="F201" t="s">
        <v>44</v>
      </c>
      <c r="G201" t="s">
        <v>23</v>
      </c>
      <c r="H201" s="3">
        <v>70394</v>
      </c>
      <c r="I201" s="3">
        <v>26902</v>
      </c>
      <c r="J201" s="3">
        <v>23606</v>
      </c>
      <c r="K201" s="3">
        <v>753</v>
      </c>
      <c r="L201" s="3">
        <v>115</v>
      </c>
      <c r="M201" s="3">
        <v>137</v>
      </c>
      <c r="N201" s="3">
        <v>159</v>
      </c>
      <c r="O201" s="3">
        <v>197</v>
      </c>
      <c r="P201" s="3">
        <v>16388</v>
      </c>
      <c r="Q201" s="3">
        <v>1164</v>
      </c>
      <c r="R201" s="4">
        <v>4.93</v>
      </c>
      <c r="S201" s="6">
        <f>GlowNestSocialTable[[#This Row],[Link Clicks]]/GlowNestSocialTable[[#This Row],[Reach]]</f>
        <v>8.3453359315428279E-3</v>
      </c>
    </row>
    <row r="202" spans="1:19">
      <c r="A202" t="s">
        <v>237</v>
      </c>
      <c r="B202" s="2">
        <v>45778</v>
      </c>
      <c r="C202" t="s">
        <v>19</v>
      </c>
      <c r="D202" t="s">
        <v>37</v>
      </c>
      <c r="E202" t="s">
        <v>25</v>
      </c>
      <c r="F202" t="s">
        <v>22</v>
      </c>
      <c r="G202" t="s">
        <v>23</v>
      </c>
      <c r="H202" s="3">
        <v>70749</v>
      </c>
      <c r="I202" s="3">
        <v>26709</v>
      </c>
      <c r="J202" s="3">
        <v>23324</v>
      </c>
      <c r="K202" s="3">
        <v>528</v>
      </c>
      <c r="L202" s="3">
        <v>95</v>
      </c>
      <c r="M202" s="3">
        <v>75</v>
      </c>
      <c r="N202" s="3">
        <v>55</v>
      </c>
      <c r="O202" s="3">
        <v>204</v>
      </c>
      <c r="P202" s="3"/>
      <c r="Q202" s="3">
        <v>753</v>
      </c>
      <c r="R202" s="4">
        <v>3.23</v>
      </c>
      <c r="S202" s="6">
        <f>GlowNestSocialTable[[#This Row],[Link Clicks]]/GlowNestSocialTable[[#This Row],[Reach]]</f>
        <v>8.7463556851311956E-3</v>
      </c>
    </row>
    <row r="203" spans="1:19">
      <c r="A203" t="s">
        <v>238</v>
      </c>
      <c r="B203" s="2">
        <v>45778</v>
      </c>
      <c r="C203" t="s">
        <v>36</v>
      </c>
      <c r="D203" t="s">
        <v>20</v>
      </c>
      <c r="E203" t="s">
        <v>21</v>
      </c>
      <c r="F203" t="s">
        <v>42</v>
      </c>
      <c r="G203" t="s">
        <v>23</v>
      </c>
      <c r="H203" s="3">
        <v>85618</v>
      </c>
      <c r="I203" s="3">
        <v>46056</v>
      </c>
      <c r="J203" s="3">
        <v>40599</v>
      </c>
      <c r="K203" s="3">
        <v>1073</v>
      </c>
      <c r="L203" s="3">
        <v>147</v>
      </c>
      <c r="M203" s="3">
        <v>102</v>
      </c>
      <c r="N203" s="3">
        <v>213</v>
      </c>
      <c r="O203" s="3">
        <v>155</v>
      </c>
      <c r="P203" s="3">
        <v>28740</v>
      </c>
      <c r="Q203" s="3">
        <v>1535</v>
      </c>
      <c r="R203" s="4">
        <v>3.78</v>
      </c>
      <c r="S203" s="6">
        <f>GlowNestSocialTable[[#This Row],[Link Clicks]]/GlowNestSocialTable[[#This Row],[Reach]]</f>
        <v>3.8178280253208206E-3</v>
      </c>
    </row>
    <row r="204" spans="1:19">
      <c r="A204" t="s">
        <v>239</v>
      </c>
      <c r="B204" s="2">
        <v>45779</v>
      </c>
      <c r="C204" t="s">
        <v>19</v>
      </c>
      <c r="D204" t="s">
        <v>34</v>
      </c>
      <c r="E204" t="s">
        <v>25</v>
      </c>
      <c r="F204" t="s">
        <v>44</v>
      </c>
      <c r="G204" t="s">
        <v>23</v>
      </c>
      <c r="H204" s="3">
        <v>71197</v>
      </c>
      <c r="I204" s="3">
        <v>25871</v>
      </c>
      <c r="J204" s="3">
        <v>21943</v>
      </c>
      <c r="K204" s="3">
        <v>469</v>
      </c>
      <c r="L204" s="3">
        <v>82</v>
      </c>
      <c r="M204" s="3">
        <v>47</v>
      </c>
      <c r="N204" s="3">
        <v>41</v>
      </c>
      <c r="O204" s="3">
        <v>260</v>
      </c>
      <c r="P204" s="3"/>
      <c r="Q204" s="3">
        <v>639</v>
      </c>
      <c r="R204" s="4">
        <v>2.91</v>
      </c>
      <c r="S204" s="6">
        <f>GlowNestSocialTable[[#This Row],[Link Clicks]]/GlowNestSocialTable[[#This Row],[Reach]]</f>
        <v>1.1848881192179738E-2</v>
      </c>
    </row>
    <row r="205" spans="1:19">
      <c r="A205" t="s">
        <v>240</v>
      </c>
      <c r="B205" s="2">
        <v>45780</v>
      </c>
      <c r="C205" t="s">
        <v>19</v>
      </c>
      <c r="D205" t="s">
        <v>37</v>
      </c>
      <c r="E205" t="s">
        <v>25</v>
      </c>
      <c r="F205" t="s">
        <v>28</v>
      </c>
      <c r="G205" t="s">
        <v>23</v>
      </c>
      <c r="H205" s="3">
        <v>70767</v>
      </c>
      <c r="I205" s="3">
        <v>25628</v>
      </c>
      <c r="J205" s="3">
        <v>19558</v>
      </c>
      <c r="K205" s="3">
        <v>596</v>
      </c>
      <c r="L205" s="3">
        <v>107</v>
      </c>
      <c r="M205" s="3">
        <v>71</v>
      </c>
      <c r="N205" s="3">
        <v>127</v>
      </c>
      <c r="O205" s="3">
        <v>130</v>
      </c>
      <c r="P205" s="3"/>
      <c r="Q205" s="3">
        <v>901</v>
      </c>
      <c r="R205" s="4">
        <v>4.6100000000000003</v>
      </c>
      <c r="S205" s="6">
        <f>GlowNestSocialTable[[#This Row],[Link Clicks]]/GlowNestSocialTable[[#This Row],[Reach]]</f>
        <v>6.6468964106759379E-3</v>
      </c>
    </row>
    <row r="206" spans="1:19">
      <c r="A206" t="s">
        <v>241</v>
      </c>
      <c r="B206" s="2">
        <v>45780</v>
      </c>
      <c r="C206" t="s">
        <v>19</v>
      </c>
      <c r="D206" t="s">
        <v>34</v>
      </c>
      <c r="E206" t="s">
        <v>25</v>
      </c>
      <c r="F206" t="s">
        <v>44</v>
      </c>
      <c r="G206" t="s">
        <v>23</v>
      </c>
      <c r="H206" s="3">
        <v>69544</v>
      </c>
      <c r="I206" s="3">
        <v>33671</v>
      </c>
      <c r="J206" s="3">
        <v>23853</v>
      </c>
      <c r="K206" s="3">
        <v>577</v>
      </c>
      <c r="L206" s="3">
        <v>64</v>
      </c>
      <c r="M206" s="3">
        <v>87</v>
      </c>
      <c r="N206" s="3">
        <v>20</v>
      </c>
      <c r="O206" s="3">
        <v>197</v>
      </c>
      <c r="P206" s="3"/>
      <c r="Q206" s="3">
        <v>748</v>
      </c>
      <c r="R206" s="4">
        <v>3.14</v>
      </c>
      <c r="S206" s="6">
        <f>GlowNestSocialTable[[#This Row],[Link Clicks]]/GlowNestSocialTable[[#This Row],[Reach]]</f>
        <v>8.2589192135161197E-3</v>
      </c>
    </row>
    <row r="207" spans="1:19">
      <c r="A207" t="s">
        <v>242</v>
      </c>
      <c r="B207" s="2">
        <v>45781</v>
      </c>
      <c r="C207" t="s">
        <v>33</v>
      </c>
      <c r="D207" t="s">
        <v>34</v>
      </c>
      <c r="E207" t="s">
        <v>21</v>
      </c>
      <c r="F207" t="s">
        <v>28</v>
      </c>
      <c r="G207" t="s">
        <v>23</v>
      </c>
      <c r="H207" s="3">
        <v>32966</v>
      </c>
      <c r="I207" s="3">
        <v>6011</v>
      </c>
      <c r="J207" s="3">
        <v>5363</v>
      </c>
      <c r="K207" s="3">
        <v>124</v>
      </c>
      <c r="L207" s="3">
        <v>19</v>
      </c>
      <c r="M207" s="3">
        <v>16</v>
      </c>
      <c r="N207" s="3">
        <v>23</v>
      </c>
      <c r="O207" s="3">
        <v>63</v>
      </c>
      <c r="P207" s="3"/>
      <c r="Q207" s="3">
        <v>182</v>
      </c>
      <c r="R207" s="4">
        <v>3.39</v>
      </c>
      <c r="S207" s="6">
        <f>GlowNestSocialTable[[#This Row],[Link Clicks]]/GlowNestSocialTable[[#This Row],[Reach]]</f>
        <v>1.1747156442289764E-2</v>
      </c>
    </row>
    <row r="208" spans="1:19">
      <c r="A208" t="s">
        <v>243</v>
      </c>
      <c r="B208" s="2">
        <v>45781</v>
      </c>
      <c r="C208" t="s">
        <v>19</v>
      </c>
      <c r="D208" t="s">
        <v>37</v>
      </c>
      <c r="E208" t="s">
        <v>46</v>
      </c>
      <c r="F208" t="s">
        <v>22</v>
      </c>
      <c r="G208" t="s">
        <v>23</v>
      </c>
      <c r="H208" s="3">
        <v>69789</v>
      </c>
      <c r="I208" s="3">
        <v>25595</v>
      </c>
      <c r="J208" s="3">
        <v>17743</v>
      </c>
      <c r="K208" s="3">
        <v>555</v>
      </c>
      <c r="L208" s="3">
        <v>95</v>
      </c>
      <c r="M208" s="3">
        <v>79</v>
      </c>
      <c r="N208" s="3">
        <v>147</v>
      </c>
      <c r="O208" s="3">
        <v>262</v>
      </c>
      <c r="P208" s="3"/>
      <c r="Q208" s="3">
        <v>876</v>
      </c>
      <c r="R208" s="4">
        <v>4.9400000000000004</v>
      </c>
      <c r="S208" s="6">
        <f>GlowNestSocialTable[[#This Row],[Link Clicks]]/GlowNestSocialTable[[#This Row],[Reach]]</f>
        <v>1.4766386744068083E-2</v>
      </c>
    </row>
    <row r="209" spans="1:19">
      <c r="A209" t="s">
        <v>244</v>
      </c>
      <c r="B209" s="2">
        <v>45782</v>
      </c>
      <c r="C209" t="s">
        <v>19</v>
      </c>
      <c r="D209" t="s">
        <v>20</v>
      </c>
      <c r="E209" t="s">
        <v>46</v>
      </c>
      <c r="F209" t="s">
        <v>28</v>
      </c>
      <c r="G209" t="s">
        <v>23</v>
      </c>
      <c r="H209" s="3">
        <v>71467</v>
      </c>
      <c r="I209" s="3">
        <v>40206</v>
      </c>
      <c r="J209" s="3">
        <v>28228</v>
      </c>
      <c r="K209" s="3">
        <v>1268</v>
      </c>
      <c r="L209" s="3">
        <v>208</v>
      </c>
      <c r="M209" s="3">
        <v>178</v>
      </c>
      <c r="N209" s="3">
        <v>133</v>
      </c>
      <c r="O209" s="3">
        <v>351</v>
      </c>
      <c r="P209" s="3">
        <v>21092</v>
      </c>
      <c r="Q209" s="3">
        <v>1787</v>
      </c>
      <c r="R209" s="4">
        <v>6.33</v>
      </c>
      <c r="S209" s="6">
        <f>GlowNestSocialTable[[#This Row],[Link Clicks]]/GlowNestSocialTable[[#This Row],[Reach]]</f>
        <v>1.2434462236077654E-2</v>
      </c>
    </row>
    <row r="210" spans="1:19">
      <c r="A210" t="s">
        <v>245</v>
      </c>
      <c r="B210" s="2">
        <v>45783</v>
      </c>
      <c r="C210" t="s">
        <v>19</v>
      </c>
      <c r="D210" t="s">
        <v>30</v>
      </c>
      <c r="E210" t="s">
        <v>21</v>
      </c>
      <c r="F210" t="s">
        <v>22</v>
      </c>
      <c r="G210" t="s">
        <v>23</v>
      </c>
      <c r="H210" s="3">
        <v>69373</v>
      </c>
      <c r="I210" s="3">
        <v>22751</v>
      </c>
      <c r="J210" s="3">
        <v>16306</v>
      </c>
      <c r="K210" s="3">
        <v>498</v>
      </c>
      <c r="L210" s="3">
        <v>61</v>
      </c>
      <c r="M210" s="3">
        <v>65</v>
      </c>
      <c r="N210" s="3">
        <v>98</v>
      </c>
      <c r="O210" s="3">
        <v>120</v>
      </c>
      <c r="P210" s="3"/>
      <c r="Q210" s="3">
        <v>722</v>
      </c>
      <c r="R210" s="4">
        <v>4.43</v>
      </c>
      <c r="S210" s="6">
        <f>GlowNestSocialTable[[#This Row],[Link Clicks]]/GlowNestSocialTable[[#This Row],[Reach]]</f>
        <v>7.3592542622347599E-3</v>
      </c>
    </row>
    <row r="211" spans="1:19">
      <c r="A211" t="s">
        <v>246</v>
      </c>
      <c r="B211" s="2">
        <v>45783</v>
      </c>
      <c r="C211" t="s">
        <v>33</v>
      </c>
      <c r="D211" t="s">
        <v>20</v>
      </c>
      <c r="E211" t="s">
        <v>49</v>
      </c>
      <c r="F211" t="s">
        <v>42</v>
      </c>
      <c r="G211" t="s">
        <v>23</v>
      </c>
      <c r="H211" s="3">
        <v>32478</v>
      </c>
      <c r="I211" s="3">
        <v>14086</v>
      </c>
      <c r="J211" s="3">
        <v>12357</v>
      </c>
      <c r="K211" s="3">
        <v>413</v>
      </c>
      <c r="L211" s="3">
        <v>72</v>
      </c>
      <c r="M211" s="3">
        <v>66</v>
      </c>
      <c r="N211" s="3">
        <v>106</v>
      </c>
      <c r="O211" s="3">
        <v>115</v>
      </c>
      <c r="P211" s="3">
        <v>9240</v>
      </c>
      <c r="Q211" s="3">
        <v>657</v>
      </c>
      <c r="R211" s="4">
        <v>5.32</v>
      </c>
      <c r="S211" s="6">
        <f>GlowNestSocialTable[[#This Row],[Link Clicks]]/GlowNestSocialTable[[#This Row],[Reach]]</f>
        <v>9.3064659707048636E-3</v>
      </c>
    </row>
    <row r="212" spans="1:19">
      <c r="A212" t="s">
        <v>247</v>
      </c>
      <c r="B212" s="2">
        <v>45784</v>
      </c>
      <c r="C212" t="s">
        <v>19</v>
      </c>
      <c r="D212" t="s">
        <v>37</v>
      </c>
      <c r="E212" t="s">
        <v>49</v>
      </c>
      <c r="F212" t="s">
        <v>22</v>
      </c>
      <c r="G212" t="s">
        <v>23</v>
      </c>
      <c r="H212" s="3">
        <v>73380</v>
      </c>
      <c r="I212" s="3">
        <v>35687</v>
      </c>
      <c r="J212" s="3">
        <v>27851</v>
      </c>
      <c r="K212" s="3">
        <v>1067</v>
      </c>
      <c r="L212" s="3">
        <v>121</v>
      </c>
      <c r="M212" s="3">
        <v>198</v>
      </c>
      <c r="N212" s="3">
        <v>316</v>
      </c>
      <c r="O212" s="3">
        <v>317</v>
      </c>
      <c r="P212" s="3"/>
      <c r="Q212" s="3">
        <v>1702</v>
      </c>
      <c r="R212" s="4">
        <v>6.11</v>
      </c>
      <c r="S212" s="6">
        <f>GlowNestSocialTable[[#This Row],[Link Clicks]]/GlowNestSocialTable[[#This Row],[Reach]]</f>
        <v>1.1381997055761013E-2</v>
      </c>
    </row>
    <row r="213" spans="1:19">
      <c r="A213" t="s">
        <v>248</v>
      </c>
      <c r="B213" s="2">
        <v>45785</v>
      </c>
      <c r="C213" t="s">
        <v>19</v>
      </c>
      <c r="D213" t="s">
        <v>20</v>
      </c>
      <c r="E213" t="s">
        <v>25</v>
      </c>
      <c r="F213" t="s">
        <v>28</v>
      </c>
      <c r="G213" t="s">
        <v>23</v>
      </c>
      <c r="H213" s="3">
        <v>71668</v>
      </c>
      <c r="I213" s="3">
        <v>28258</v>
      </c>
      <c r="J213" s="3">
        <v>24166</v>
      </c>
      <c r="K213" s="3">
        <v>892</v>
      </c>
      <c r="L213" s="3">
        <v>175</v>
      </c>
      <c r="M213" s="3">
        <v>97</v>
      </c>
      <c r="N213" s="3">
        <v>183</v>
      </c>
      <c r="O213" s="3">
        <v>156</v>
      </c>
      <c r="P213" s="3">
        <v>20189</v>
      </c>
      <c r="Q213" s="3">
        <v>1347</v>
      </c>
      <c r="R213" s="4">
        <v>5.57</v>
      </c>
      <c r="S213" s="6">
        <f>GlowNestSocialTable[[#This Row],[Link Clicks]]/GlowNestSocialTable[[#This Row],[Reach]]</f>
        <v>6.455350492427377E-3</v>
      </c>
    </row>
    <row r="214" spans="1:19">
      <c r="A214" t="s">
        <v>249</v>
      </c>
      <c r="B214" s="2">
        <v>45785</v>
      </c>
      <c r="C214" t="s">
        <v>19</v>
      </c>
      <c r="D214" t="s">
        <v>37</v>
      </c>
      <c r="E214" t="s">
        <v>27</v>
      </c>
      <c r="F214" t="s">
        <v>42</v>
      </c>
      <c r="G214" t="s">
        <v>23</v>
      </c>
      <c r="H214" s="3">
        <v>70956</v>
      </c>
      <c r="I214" s="3">
        <v>31675</v>
      </c>
      <c r="J214" s="3">
        <v>29020</v>
      </c>
      <c r="K214" s="3">
        <v>1484</v>
      </c>
      <c r="L214" s="3">
        <v>177</v>
      </c>
      <c r="M214" s="3">
        <v>227</v>
      </c>
      <c r="N214" s="3">
        <v>391</v>
      </c>
      <c r="O214" s="3">
        <v>298</v>
      </c>
      <c r="P214" s="3"/>
      <c r="Q214" s="3">
        <v>2279</v>
      </c>
      <c r="R214" s="4">
        <v>7.85</v>
      </c>
      <c r="S214" s="6">
        <f>GlowNestSocialTable[[#This Row],[Link Clicks]]/GlowNestSocialTable[[#This Row],[Reach]]</f>
        <v>1.0268780151619573E-2</v>
      </c>
    </row>
    <row r="215" spans="1:19">
      <c r="A215" t="s">
        <v>250</v>
      </c>
      <c r="B215" s="2">
        <v>45786</v>
      </c>
      <c r="C215" t="s">
        <v>36</v>
      </c>
      <c r="D215" t="s">
        <v>37</v>
      </c>
      <c r="E215" t="s">
        <v>25</v>
      </c>
      <c r="F215" t="s">
        <v>44</v>
      </c>
      <c r="G215" t="s">
        <v>23</v>
      </c>
      <c r="H215" s="3">
        <v>86367</v>
      </c>
      <c r="I215" s="3">
        <v>51971</v>
      </c>
      <c r="J215" s="3">
        <v>34660</v>
      </c>
      <c r="K215" s="3">
        <v>360</v>
      </c>
      <c r="L215" s="3">
        <v>44</v>
      </c>
      <c r="M215" s="3">
        <v>50</v>
      </c>
      <c r="N215" s="3">
        <v>18</v>
      </c>
      <c r="O215" s="3">
        <v>140</v>
      </c>
      <c r="P215" s="3"/>
      <c r="Q215" s="3">
        <v>472</v>
      </c>
      <c r="R215" s="4">
        <v>1.36</v>
      </c>
      <c r="S215" s="6">
        <f>GlowNestSocialTable[[#This Row],[Link Clicks]]/GlowNestSocialTable[[#This Row],[Reach]]</f>
        <v>4.0392383150605884E-3</v>
      </c>
    </row>
    <row r="216" spans="1:19">
      <c r="A216" t="s">
        <v>251</v>
      </c>
      <c r="B216" s="2">
        <v>45786</v>
      </c>
      <c r="C216" t="s">
        <v>19</v>
      </c>
      <c r="D216" t="s">
        <v>20</v>
      </c>
      <c r="E216" t="s">
        <v>27</v>
      </c>
      <c r="F216" t="s">
        <v>22</v>
      </c>
      <c r="G216" t="s">
        <v>23</v>
      </c>
      <c r="H216" s="3">
        <v>73283</v>
      </c>
      <c r="I216" s="3">
        <v>49876</v>
      </c>
      <c r="J216" s="3">
        <v>36195</v>
      </c>
      <c r="K216" s="3">
        <v>2071</v>
      </c>
      <c r="L216" s="3">
        <v>347</v>
      </c>
      <c r="M216" s="3">
        <v>308</v>
      </c>
      <c r="N216" s="3">
        <v>180</v>
      </c>
      <c r="O216" s="3">
        <v>394</v>
      </c>
      <c r="P216" s="3">
        <v>20103</v>
      </c>
      <c r="Q216" s="3">
        <v>2906</v>
      </c>
      <c r="R216" s="4">
        <v>8.0299999999999994</v>
      </c>
      <c r="S216" s="6">
        <f>GlowNestSocialTable[[#This Row],[Link Clicks]]/GlowNestSocialTable[[#This Row],[Reach]]</f>
        <v>1.0885481420085647E-2</v>
      </c>
    </row>
    <row r="217" spans="1:19">
      <c r="A217" t="s">
        <v>252</v>
      </c>
      <c r="B217" s="2">
        <v>45787</v>
      </c>
      <c r="C217" t="s">
        <v>19</v>
      </c>
      <c r="D217" t="s">
        <v>30</v>
      </c>
      <c r="E217" t="s">
        <v>49</v>
      </c>
      <c r="F217" t="s">
        <v>42</v>
      </c>
      <c r="G217" t="s">
        <v>23</v>
      </c>
      <c r="H217" s="3">
        <v>69489</v>
      </c>
      <c r="I217" s="3">
        <v>28250</v>
      </c>
      <c r="J217" s="3">
        <v>25879</v>
      </c>
      <c r="K217" s="3">
        <v>908</v>
      </c>
      <c r="L217" s="3">
        <v>114</v>
      </c>
      <c r="M217" s="3">
        <v>127</v>
      </c>
      <c r="N217" s="3">
        <v>46</v>
      </c>
      <c r="O217" s="3">
        <v>217</v>
      </c>
      <c r="P217" s="3"/>
      <c r="Q217" s="3">
        <v>1195</v>
      </c>
      <c r="R217" s="4">
        <v>4.62</v>
      </c>
      <c r="S217" s="6">
        <f>GlowNestSocialTable[[#This Row],[Link Clicks]]/GlowNestSocialTable[[#This Row],[Reach]]</f>
        <v>8.3851771706789282E-3</v>
      </c>
    </row>
    <row r="218" spans="1:19">
      <c r="A218" t="s">
        <v>253</v>
      </c>
      <c r="B218" s="2">
        <v>45788</v>
      </c>
      <c r="C218" t="s">
        <v>19</v>
      </c>
      <c r="D218" t="s">
        <v>37</v>
      </c>
      <c r="E218" t="s">
        <v>21</v>
      </c>
      <c r="F218" t="s">
        <v>31</v>
      </c>
      <c r="G218" t="s">
        <v>23</v>
      </c>
      <c r="H218" s="3">
        <v>71623</v>
      </c>
      <c r="I218" s="3">
        <v>23404</v>
      </c>
      <c r="J218" s="3">
        <v>18649</v>
      </c>
      <c r="K218" s="3">
        <v>772</v>
      </c>
      <c r="L218" s="3">
        <v>104</v>
      </c>
      <c r="M218" s="3">
        <v>126</v>
      </c>
      <c r="N218" s="3">
        <v>98</v>
      </c>
      <c r="O218" s="3">
        <v>249</v>
      </c>
      <c r="P218" s="3"/>
      <c r="Q218" s="3">
        <v>1100</v>
      </c>
      <c r="R218" s="4">
        <v>5.9</v>
      </c>
      <c r="S218" s="6">
        <f>GlowNestSocialTable[[#This Row],[Link Clicks]]/GlowNestSocialTable[[#This Row],[Reach]]</f>
        <v>1.3351922355086063E-2</v>
      </c>
    </row>
    <row r="219" spans="1:19">
      <c r="A219" t="s">
        <v>254</v>
      </c>
      <c r="B219" s="2">
        <v>45788</v>
      </c>
      <c r="C219" t="s">
        <v>19</v>
      </c>
      <c r="D219" t="s">
        <v>34</v>
      </c>
      <c r="E219" t="s">
        <v>25</v>
      </c>
      <c r="F219" t="s">
        <v>31</v>
      </c>
      <c r="G219" t="s">
        <v>23</v>
      </c>
      <c r="H219" s="3">
        <v>69053</v>
      </c>
      <c r="I219" s="3">
        <v>27234</v>
      </c>
      <c r="J219" s="3">
        <v>18113</v>
      </c>
      <c r="K219" s="3">
        <v>337</v>
      </c>
      <c r="L219" s="3">
        <v>51</v>
      </c>
      <c r="M219" s="3">
        <v>41</v>
      </c>
      <c r="N219" s="3">
        <v>7</v>
      </c>
      <c r="O219" s="3">
        <v>192</v>
      </c>
      <c r="P219" s="3"/>
      <c r="Q219" s="3">
        <v>436</v>
      </c>
      <c r="R219" s="4">
        <v>2.41</v>
      </c>
      <c r="S219" s="6">
        <f>GlowNestSocialTable[[#This Row],[Link Clicks]]/GlowNestSocialTable[[#This Row],[Reach]]</f>
        <v>1.0600121459725059E-2</v>
      </c>
    </row>
    <row r="220" spans="1:19">
      <c r="A220" t="s">
        <v>255</v>
      </c>
      <c r="B220" s="2">
        <v>45789</v>
      </c>
      <c r="C220" t="s">
        <v>36</v>
      </c>
      <c r="D220" t="s">
        <v>30</v>
      </c>
      <c r="E220" t="s">
        <v>21</v>
      </c>
      <c r="F220" t="s">
        <v>42</v>
      </c>
      <c r="G220" t="s">
        <v>23</v>
      </c>
      <c r="H220" s="3">
        <v>88031</v>
      </c>
      <c r="I220" s="3">
        <v>45215</v>
      </c>
      <c r="J220" s="3">
        <v>37040</v>
      </c>
      <c r="K220" s="3">
        <v>622</v>
      </c>
      <c r="L220" s="3">
        <v>78</v>
      </c>
      <c r="M220" s="3">
        <v>90</v>
      </c>
      <c r="N220" s="3">
        <v>89</v>
      </c>
      <c r="O220" s="3">
        <v>153</v>
      </c>
      <c r="P220" s="3"/>
      <c r="Q220" s="3">
        <v>879</v>
      </c>
      <c r="R220" s="4">
        <v>2.37</v>
      </c>
      <c r="S220" s="6">
        <f>GlowNestSocialTable[[#This Row],[Link Clicks]]/GlowNestSocialTable[[#This Row],[Reach]]</f>
        <v>4.1306695464362851E-3</v>
      </c>
    </row>
    <row r="221" spans="1:19">
      <c r="A221" t="s">
        <v>256</v>
      </c>
      <c r="B221" s="2">
        <v>45789</v>
      </c>
      <c r="C221" t="s">
        <v>33</v>
      </c>
      <c r="D221" t="s">
        <v>34</v>
      </c>
      <c r="E221" t="s">
        <v>27</v>
      </c>
      <c r="F221" t="s">
        <v>31</v>
      </c>
      <c r="G221" t="s">
        <v>23</v>
      </c>
      <c r="H221" s="3">
        <v>34510</v>
      </c>
      <c r="I221" s="3">
        <v>11321</v>
      </c>
      <c r="J221" s="3">
        <v>8583</v>
      </c>
      <c r="K221" s="3">
        <v>282</v>
      </c>
      <c r="L221" s="3">
        <v>34</v>
      </c>
      <c r="M221" s="3">
        <v>32</v>
      </c>
      <c r="N221" s="3">
        <v>39</v>
      </c>
      <c r="O221" s="3">
        <v>129</v>
      </c>
      <c r="P221" s="3"/>
      <c r="Q221" s="3">
        <v>387</v>
      </c>
      <c r="R221" s="4">
        <v>4.51</v>
      </c>
      <c r="S221" s="6">
        <f>GlowNestSocialTable[[#This Row],[Link Clicks]]/GlowNestSocialTable[[#This Row],[Reach]]</f>
        <v>1.5029709891646278E-2</v>
      </c>
    </row>
    <row r="222" spans="1:19">
      <c r="A222" t="s">
        <v>257</v>
      </c>
      <c r="B222" s="2">
        <v>45790</v>
      </c>
      <c r="C222" t="s">
        <v>36</v>
      </c>
      <c r="D222" t="s">
        <v>37</v>
      </c>
      <c r="E222" t="s">
        <v>46</v>
      </c>
      <c r="F222" t="s">
        <v>28</v>
      </c>
      <c r="G222" t="s">
        <v>23</v>
      </c>
      <c r="H222" s="3">
        <v>88101</v>
      </c>
      <c r="I222" s="3">
        <v>51335</v>
      </c>
      <c r="J222" s="3">
        <v>33312</v>
      </c>
      <c r="K222" s="3">
        <v>457</v>
      </c>
      <c r="L222" s="3">
        <v>51</v>
      </c>
      <c r="M222" s="3">
        <v>77</v>
      </c>
      <c r="N222" s="3">
        <v>88</v>
      </c>
      <c r="O222" s="3">
        <v>207</v>
      </c>
      <c r="P222" s="3"/>
      <c r="Q222" s="3">
        <v>673</v>
      </c>
      <c r="R222" s="4">
        <v>2.02</v>
      </c>
      <c r="S222" s="6">
        <f>GlowNestSocialTable[[#This Row],[Link Clicks]]/GlowNestSocialTable[[#This Row],[Reach]]</f>
        <v>6.2139769452449565E-3</v>
      </c>
    </row>
    <row r="223" spans="1:19">
      <c r="A223" t="s">
        <v>258</v>
      </c>
      <c r="B223" s="2">
        <v>45791</v>
      </c>
      <c r="C223" t="s">
        <v>36</v>
      </c>
      <c r="D223" t="s">
        <v>34</v>
      </c>
      <c r="E223" t="s">
        <v>27</v>
      </c>
      <c r="F223" t="s">
        <v>28</v>
      </c>
      <c r="G223" t="s">
        <v>23</v>
      </c>
      <c r="H223" s="3">
        <v>85193</v>
      </c>
      <c r="I223" s="3">
        <v>40047</v>
      </c>
      <c r="J223" s="3">
        <v>31400</v>
      </c>
      <c r="K223" s="3">
        <v>574</v>
      </c>
      <c r="L223" s="3">
        <v>58</v>
      </c>
      <c r="M223" s="3">
        <v>91</v>
      </c>
      <c r="N223" s="3">
        <v>68</v>
      </c>
      <c r="O223" s="3">
        <v>243</v>
      </c>
      <c r="P223" s="3"/>
      <c r="Q223" s="3">
        <v>791</v>
      </c>
      <c r="R223" s="4">
        <v>2.52</v>
      </c>
      <c r="S223" s="6">
        <f>GlowNestSocialTable[[#This Row],[Link Clicks]]/GlowNestSocialTable[[#This Row],[Reach]]</f>
        <v>7.738853503184713E-3</v>
      </c>
    </row>
    <row r="224" spans="1:19">
      <c r="A224" t="s">
        <v>259</v>
      </c>
      <c r="B224" s="2">
        <v>45791</v>
      </c>
      <c r="C224" t="s">
        <v>33</v>
      </c>
      <c r="D224" t="s">
        <v>37</v>
      </c>
      <c r="E224" t="s">
        <v>49</v>
      </c>
      <c r="F224" t="s">
        <v>28</v>
      </c>
      <c r="G224" t="s">
        <v>38</v>
      </c>
      <c r="H224" s="3">
        <v>34747</v>
      </c>
      <c r="I224" s="3">
        <v>23072</v>
      </c>
      <c r="J224" s="3">
        <v>16790</v>
      </c>
      <c r="K224" s="3">
        <v>468</v>
      </c>
      <c r="L224" s="3">
        <v>66</v>
      </c>
      <c r="M224" s="3">
        <v>59</v>
      </c>
      <c r="N224" s="3">
        <v>31</v>
      </c>
      <c r="O224" s="3">
        <v>212</v>
      </c>
      <c r="P224" s="3"/>
      <c r="Q224" s="3">
        <v>624</v>
      </c>
      <c r="R224" s="4">
        <v>3.72</v>
      </c>
      <c r="S224" s="6">
        <f>GlowNestSocialTable[[#This Row],[Link Clicks]]/GlowNestSocialTable[[#This Row],[Reach]]</f>
        <v>1.262656343061346E-2</v>
      </c>
    </row>
    <row r="225" spans="1:19">
      <c r="A225" t="s">
        <v>260</v>
      </c>
      <c r="B225" s="2">
        <v>45792</v>
      </c>
      <c r="C225" t="s">
        <v>36</v>
      </c>
      <c r="D225" t="s">
        <v>30</v>
      </c>
      <c r="E225" t="s">
        <v>21</v>
      </c>
      <c r="F225" t="s">
        <v>44</v>
      </c>
      <c r="G225" t="s">
        <v>38</v>
      </c>
      <c r="H225" s="3">
        <v>86940</v>
      </c>
      <c r="I225" s="3">
        <v>61245</v>
      </c>
      <c r="J225" s="3">
        <v>46895</v>
      </c>
      <c r="K225" s="3">
        <v>558</v>
      </c>
      <c r="L225" s="3">
        <v>78</v>
      </c>
      <c r="M225" s="3">
        <v>76</v>
      </c>
      <c r="N225" s="3">
        <v>49</v>
      </c>
      <c r="O225" s="3">
        <v>165</v>
      </c>
      <c r="P225" s="3"/>
      <c r="Q225" s="3">
        <v>761</v>
      </c>
      <c r="R225" s="4">
        <v>1.62</v>
      </c>
      <c r="S225" s="6">
        <f>GlowNestSocialTable[[#This Row],[Link Clicks]]/GlowNestSocialTable[[#This Row],[Reach]]</f>
        <v>3.5184987738564877E-3</v>
      </c>
    </row>
    <row r="226" spans="1:19">
      <c r="A226" t="s">
        <v>261</v>
      </c>
      <c r="B226" s="2">
        <v>45792</v>
      </c>
      <c r="C226" t="s">
        <v>36</v>
      </c>
      <c r="D226" t="s">
        <v>20</v>
      </c>
      <c r="E226" t="s">
        <v>27</v>
      </c>
      <c r="F226" t="s">
        <v>44</v>
      </c>
      <c r="G226" t="s">
        <v>23</v>
      </c>
      <c r="H226" s="3">
        <v>86579</v>
      </c>
      <c r="I226" s="3">
        <v>67829</v>
      </c>
      <c r="J226" s="3">
        <v>48149</v>
      </c>
      <c r="K226" s="3">
        <v>1116</v>
      </c>
      <c r="L226" s="3">
        <v>208</v>
      </c>
      <c r="M226" s="3">
        <v>196</v>
      </c>
      <c r="N226" s="3">
        <v>227</v>
      </c>
      <c r="O226" s="3">
        <v>220</v>
      </c>
      <c r="P226" s="3">
        <v>34383</v>
      </c>
      <c r="Q226" s="3">
        <v>1747</v>
      </c>
      <c r="R226" s="4">
        <v>3.63</v>
      </c>
      <c r="S226" s="6">
        <f>GlowNestSocialTable[[#This Row],[Link Clicks]]/GlowNestSocialTable[[#This Row],[Reach]]</f>
        <v>4.5691499304243077E-3</v>
      </c>
    </row>
    <row r="227" spans="1:19">
      <c r="A227" t="s">
        <v>262</v>
      </c>
      <c r="B227" s="2">
        <v>45793</v>
      </c>
      <c r="C227" t="s">
        <v>33</v>
      </c>
      <c r="D227" t="s">
        <v>34</v>
      </c>
      <c r="E227" t="s">
        <v>27</v>
      </c>
      <c r="F227" t="s">
        <v>28</v>
      </c>
      <c r="G227" t="s">
        <v>23</v>
      </c>
      <c r="H227" s="3">
        <v>34596</v>
      </c>
      <c r="I227" s="3">
        <v>11088</v>
      </c>
      <c r="J227" s="3">
        <v>8665</v>
      </c>
      <c r="K227" s="3">
        <v>219</v>
      </c>
      <c r="L227" s="3">
        <v>29</v>
      </c>
      <c r="M227" s="3">
        <v>20</v>
      </c>
      <c r="N227" s="3">
        <v>71</v>
      </c>
      <c r="O227" s="3">
        <v>157</v>
      </c>
      <c r="P227" s="3"/>
      <c r="Q227" s="3">
        <v>339</v>
      </c>
      <c r="R227" s="4">
        <v>3.91</v>
      </c>
      <c r="S227" s="6">
        <f>GlowNestSocialTable[[#This Row],[Link Clicks]]/GlowNestSocialTable[[#This Row],[Reach]]</f>
        <v>1.8118869013271782E-2</v>
      </c>
    </row>
    <row r="228" spans="1:19">
      <c r="A228" t="s">
        <v>263</v>
      </c>
      <c r="B228" s="2">
        <v>45794</v>
      </c>
      <c r="C228" t="s">
        <v>19</v>
      </c>
      <c r="D228" t="s">
        <v>30</v>
      </c>
      <c r="E228" t="s">
        <v>46</v>
      </c>
      <c r="F228" t="s">
        <v>31</v>
      </c>
      <c r="G228" t="s">
        <v>23</v>
      </c>
      <c r="H228" s="3">
        <v>71513</v>
      </c>
      <c r="I228" s="3">
        <v>26836</v>
      </c>
      <c r="J228" s="3">
        <v>19720</v>
      </c>
      <c r="K228" s="3">
        <v>664</v>
      </c>
      <c r="L228" s="3">
        <v>119</v>
      </c>
      <c r="M228" s="3">
        <v>64</v>
      </c>
      <c r="N228" s="3">
        <v>142</v>
      </c>
      <c r="O228" s="3">
        <v>239</v>
      </c>
      <c r="P228" s="3"/>
      <c r="Q228" s="3">
        <v>989</v>
      </c>
      <c r="R228" s="4">
        <v>5.0199999999999996</v>
      </c>
      <c r="S228" s="6">
        <f>GlowNestSocialTable[[#This Row],[Link Clicks]]/GlowNestSocialTable[[#This Row],[Reach]]</f>
        <v>1.2119675456389452E-2</v>
      </c>
    </row>
    <row r="229" spans="1:19">
      <c r="A229" t="s">
        <v>264</v>
      </c>
      <c r="B229" s="2">
        <v>45794</v>
      </c>
      <c r="C229" t="s">
        <v>36</v>
      </c>
      <c r="D229" t="s">
        <v>30</v>
      </c>
      <c r="E229" t="s">
        <v>27</v>
      </c>
      <c r="F229" t="s">
        <v>42</v>
      </c>
      <c r="G229" t="s">
        <v>23</v>
      </c>
      <c r="H229" s="3">
        <v>84924</v>
      </c>
      <c r="I229" s="3">
        <v>41924</v>
      </c>
      <c r="J229" s="3">
        <v>33895</v>
      </c>
      <c r="K229" s="3">
        <v>624</v>
      </c>
      <c r="L229" s="3">
        <v>77</v>
      </c>
      <c r="M229" s="3">
        <v>75</v>
      </c>
      <c r="N229" s="3">
        <v>157</v>
      </c>
      <c r="O229" s="3">
        <v>192</v>
      </c>
      <c r="P229" s="3"/>
      <c r="Q229" s="3">
        <v>933</v>
      </c>
      <c r="R229" s="4">
        <v>2.75</v>
      </c>
      <c r="S229" s="6">
        <f>GlowNestSocialTable[[#This Row],[Link Clicks]]/GlowNestSocialTable[[#This Row],[Reach]]</f>
        <v>5.6645522938486501E-3</v>
      </c>
    </row>
    <row r="230" spans="1:19">
      <c r="A230" t="s">
        <v>265</v>
      </c>
      <c r="B230" s="2">
        <v>45795</v>
      </c>
      <c r="C230" t="s">
        <v>36</v>
      </c>
      <c r="D230" t="s">
        <v>30</v>
      </c>
      <c r="E230" t="s">
        <v>21</v>
      </c>
      <c r="F230" t="s">
        <v>22</v>
      </c>
      <c r="G230" t="s">
        <v>38</v>
      </c>
      <c r="H230" s="3">
        <v>84991</v>
      </c>
      <c r="I230" s="3">
        <v>53181</v>
      </c>
      <c r="J230" s="3">
        <v>46364</v>
      </c>
      <c r="K230" s="3">
        <v>730</v>
      </c>
      <c r="L230" s="3">
        <v>79</v>
      </c>
      <c r="M230" s="3">
        <v>99</v>
      </c>
      <c r="N230" s="3">
        <v>114</v>
      </c>
      <c r="O230" s="3">
        <v>248</v>
      </c>
      <c r="P230" s="3"/>
      <c r="Q230" s="3">
        <v>1022</v>
      </c>
      <c r="R230" s="4">
        <v>2.2000000000000002</v>
      </c>
      <c r="S230" s="6">
        <f>GlowNestSocialTable[[#This Row],[Link Clicks]]/GlowNestSocialTable[[#This Row],[Reach]]</f>
        <v>5.3489776550772151E-3</v>
      </c>
    </row>
    <row r="231" spans="1:19">
      <c r="A231" t="s">
        <v>266</v>
      </c>
      <c r="B231" s="2">
        <v>45795</v>
      </c>
      <c r="C231" t="s">
        <v>33</v>
      </c>
      <c r="D231" t="s">
        <v>30</v>
      </c>
      <c r="E231" t="s">
        <v>25</v>
      </c>
      <c r="F231" t="s">
        <v>44</v>
      </c>
      <c r="G231" t="s">
        <v>23</v>
      </c>
      <c r="H231" s="3">
        <v>33685</v>
      </c>
      <c r="I231" s="3">
        <v>13603</v>
      </c>
      <c r="J231" s="3">
        <v>8813</v>
      </c>
      <c r="K231" s="3">
        <v>178</v>
      </c>
      <c r="L231" s="3">
        <v>18</v>
      </c>
      <c r="M231" s="3">
        <v>15</v>
      </c>
      <c r="N231" s="3">
        <v>15</v>
      </c>
      <c r="O231" s="3">
        <v>89</v>
      </c>
      <c r="P231" s="3"/>
      <c r="Q231" s="3">
        <v>226</v>
      </c>
      <c r="R231" s="4">
        <v>2.56</v>
      </c>
      <c r="S231" s="6">
        <f>GlowNestSocialTable[[#This Row],[Link Clicks]]/GlowNestSocialTable[[#This Row],[Reach]]</f>
        <v>1.0098717803245207E-2</v>
      </c>
    </row>
    <row r="232" spans="1:19">
      <c r="A232" t="s">
        <v>267</v>
      </c>
      <c r="B232" s="2">
        <v>45796</v>
      </c>
      <c r="C232" t="s">
        <v>33</v>
      </c>
      <c r="D232" t="s">
        <v>37</v>
      </c>
      <c r="E232" t="s">
        <v>21</v>
      </c>
      <c r="F232" t="s">
        <v>31</v>
      </c>
      <c r="G232" t="s">
        <v>23</v>
      </c>
      <c r="H232" s="3">
        <v>34501</v>
      </c>
      <c r="I232" s="3">
        <v>12675</v>
      </c>
      <c r="J232" s="3">
        <v>10377</v>
      </c>
      <c r="K232" s="3">
        <v>281</v>
      </c>
      <c r="L232" s="3">
        <v>32</v>
      </c>
      <c r="M232" s="3">
        <v>29</v>
      </c>
      <c r="N232" s="3">
        <v>112</v>
      </c>
      <c r="O232" s="3">
        <v>126</v>
      </c>
      <c r="P232" s="3"/>
      <c r="Q232" s="3">
        <v>454</v>
      </c>
      <c r="R232" s="4">
        <v>4.38</v>
      </c>
      <c r="S232" s="6">
        <f>GlowNestSocialTable[[#This Row],[Link Clicks]]/GlowNestSocialTable[[#This Row],[Reach]]</f>
        <v>1.2142237640936688E-2</v>
      </c>
    </row>
    <row r="233" spans="1:19">
      <c r="A233" t="s">
        <v>268</v>
      </c>
      <c r="B233" s="2">
        <v>45797</v>
      </c>
      <c r="C233" t="s">
        <v>36</v>
      </c>
      <c r="D233" t="s">
        <v>30</v>
      </c>
      <c r="E233" t="s">
        <v>25</v>
      </c>
      <c r="F233" t="s">
        <v>31</v>
      </c>
      <c r="G233" t="s">
        <v>23</v>
      </c>
      <c r="H233" s="3">
        <v>87006</v>
      </c>
      <c r="I233" s="3">
        <v>52236</v>
      </c>
      <c r="J233" s="3">
        <v>42068</v>
      </c>
      <c r="K233" s="3">
        <v>411</v>
      </c>
      <c r="L233" s="3">
        <v>65</v>
      </c>
      <c r="M233" s="3">
        <v>42</v>
      </c>
      <c r="N233" s="3">
        <v>62</v>
      </c>
      <c r="O233" s="3">
        <v>128</v>
      </c>
      <c r="P233" s="3"/>
      <c r="Q233" s="3">
        <v>580</v>
      </c>
      <c r="R233" s="4">
        <v>1.38</v>
      </c>
      <c r="S233" s="6">
        <f>GlowNestSocialTable[[#This Row],[Link Clicks]]/GlowNestSocialTable[[#This Row],[Reach]]</f>
        <v>3.0426927831130549E-3</v>
      </c>
    </row>
    <row r="234" spans="1:19">
      <c r="A234" t="s">
        <v>269</v>
      </c>
      <c r="B234" s="2">
        <v>45797</v>
      </c>
      <c r="C234" t="s">
        <v>33</v>
      </c>
      <c r="D234" t="s">
        <v>37</v>
      </c>
      <c r="E234" t="s">
        <v>25</v>
      </c>
      <c r="F234" t="s">
        <v>42</v>
      </c>
      <c r="G234" t="s">
        <v>23</v>
      </c>
      <c r="H234" s="3">
        <v>34477</v>
      </c>
      <c r="I234" s="3">
        <v>14141</v>
      </c>
      <c r="J234" s="3">
        <v>9182</v>
      </c>
      <c r="K234" s="3">
        <v>215</v>
      </c>
      <c r="L234" s="3">
        <v>27</v>
      </c>
      <c r="M234" s="3">
        <v>23</v>
      </c>
      <c r="N234" s="3">
        <v>29</v>
      </c>
      <c r="O234" s="3">
        <v>117</v>
      </c>
      <c r="P234" s="3"/>
      <c r="Q234" s="3">
        <v>294</v>
      </c>
      <c r="R234" s="4">
        <v>3.2</v>
      </c>
      <c r="S234" s="6">
        <f>GlowNestSocialTable[[#This Row],[Link Clicks]]/GlowNestSocialTable[[#This Row],[Reach]]</f>
        <v>1.2742321934219125E-2</v>
      </c>
    </row>
    <row r="235" spans="1:19">
      <c r="A235" t="s">
        <v>270</v>
      </c>
      <c r="B235" s="2">
        <v>45798</v>
      </c>
      <c r="C235" t="s">
        <v>36</v>
      </c>
      <c r="D235" t="s">
        <v>30</v>
      </c>
      <c r="E235" t="s">
        <v>25</v>
      </c>
      <c r="F235" t="s">
        <v>42</v>
      </c>
      <c r="G235" t="s">
        <v>23</v>
      </c>
      <c r="H235" s="3">
        <v>86400</v>
      </c>
      <c r="I235" s="3">
        <v>45903</v>
      </c>
      <c r="J235" s="3">
        <v>40896</v>
      </c>
      <c r="K235" s="3">
        <v>399</v>
      </c>
      <c r="L235" s="3">
        <v>51</v>
      </c>
      <c r="M235" s="3">
        <v>55</v>
      </c>
      <c r="N235" s="3">
        <v>13</v>
      </c>
      <c r="O235" s="3">
        <v>160</v>
      </c>
      <c r="P235" s="3"/>
      <c r="Q235" s="3">
        <v>518</v>
      </c>
      <c r="R235" s="4">
        <v>1.27</v>
      </c>
      <c r="S235" s="6">
        <f>GlowNestSocialTable[[#This Row],[Link Clicks]]/GlowNestSocialTable[[#This Row],[Reach]]</f>
        <v>3.9123630672926448E-3</v>
      </c>
    </row>
    <row r="236" spans="1:19">
      <c r="A236" t="s">
        <v>271</v>
      </c>
      <c r="B236" s="2">
        <v>45798</v>
      </c>
      <c r="C236" t="s">
        <v>19</v>
      </c>
      <c r="D236" t="s">
        <v>37</v>
      </c>
      <c r="E236" t="s">
        <v>27</v>
      </c>
      <c r="F236" t="s">
        <v>28</v>
      </c>
      <c r="G236" t="s">
        <v>23</v>
      </c>
      <c r="H236" s="3">
        <v>70810</v>
      </c>
      <c r="I236" s="3">
        <v>38884</v>
      </c>
      <c r="J236" s="3">
        <v>33357</v>
      </c>
      <c r="K236" s="3">
        <v>1570</v>
      </c>
      <c r="L236" s="3">
        <v>224</v>
      </c>
      <c r="M236" s="3">
        <v>240</v>
      </c>
      <c r="N236" s="3">
        <v>235</v>
      </c>
      <c r="O236" s="3">
        <v>422</v>
      </c>
      <c r="P236" s="3"/>
      <c r="Q236" s="3">
        <v>2269</v>
      </c>
      <c r="R236" s="4">
        <v>6.8</v>
      </c>
      <c r="S236" s="6">
        <f>GlowNestSocialTable[[#This Row],[Link Clicks]]/GlowNestSocialTable[[#This Row],[Reach]]</f>
        <v>1.2651017777378062E-2</v>
      </c>
    </row>
    <row r="237" spans="1:19">
      <c r="A237" t="s">
        <v>272</v>
      </c>
      <c r="B237" s="2">
        <v>45799</v>
      </c>
      <c r="C237" t="s">
        <v>33</v>
      </c>
      <c r="D237" t="s">
        <v>37</v>
      </c>
      <c r="E237" t="s">
        <v>25</v>
      </c>
      <c r="F237" t="s">
        <v>28</v>
      </c>
      <c r="G237" t="s">
        <v>23</v>
      </c>
      <c r="H237" s="3">
        <v>33768</v>
      </c>
      <c r="I237" s="3">
        <v>12661</v>
      </c>
      <c r="J237" s="3">
        <v>8216</v>
      </c>
      <c r="K237" s="3">
        <v>170</v>
      </c>
      <c r="L237" s="3">
        <v>26</v>
      </c>
      <c r="M237" s="3">
        <v>22</v>
      </c>
      <c r="N237" s="3">
        <v>23</v>
      </c>
      <c r="O237" s="3">
        <v>106</v>
      </c>
      <c r="P237" s="3"/>
      <c r="Q237" s="3">
        <v>241</v>
      </c>
      <c r="R237" s="4">
        <v>2.93</v>
      </c>
      <c r="S237" s="6">
        <f>GlowNestSocialTable[[#This Row],[Link Clicks]]/GlowNestSocialTable[[#This Row],[Reach]]</f>
        <v>1.2901655306718598E-2</v>
      </c>
    </row>
    <row r="238" spans="1:19">
      <c r="A238" t="s">
        <v>273</v>
      </c>
      <c r="B238" s="2">
        <v>45800</v>
      </c>
      <c r="C238" t="s">
        <v>33</v>
      </c>
      <c r="D238" t="s">
        <v>30</v>
      </c>
      <c r="E238" t="s">
        <v>21</v>
      </c>
      <c r="F238" t="s">
        <v>31</v>
      </c>
      <c r="G238" t="s">
        <v>23</v>
      </c>
      <c r="H238" s="3">
        <v>33775</v>
      </c>
      <c r="I238" s="3">
        <v>8279</v>
      </c>
      <c r="J238" s="3">
        <v>5946</v>
      </c>
      <c r="K238" s="3">
        <v>123</v>
      </c>
      <c r="L238" s="3">
        <v>13</v>
      </c>
      <c r="M238" s="3">
        <v>17</v>
      </c>
      <c r="N238" s="3">
        <v>22</v>
      </c>
      <c r="O238" s="3">
        <v>72</v>
      </c>
      <c r="P238" s="3"/>
      <c r="Q238" s="3">
        <v>175</v>
      </c>
      <c r="R238" s="4">
        <v>2.94</v>
      </c>
      <c r="S238" s="6">
        <f>GlowNestSocialTable[[#This Row],[Link Clicks]]/GlowNestSocialTable[[#This Row],[Reach]]</f>
        <v>1.2108980827447022E-2</v>
      </c>
    </row>
    <row r="239" spans="1:19">
      <c r="A239" t="s">
        <v>274</v>
      </c>
      <c r="B239" s="2">
        <v>45800</v>
      </c>
      <c r="C239" t="s">
        <v>33</v>
      </c>
      <c r="D239" t="s">
        <v>34</v>
      </c>
      <c r="E239" t="s">
        <v>27</v>
      </c>
      <c r="F239" t="s">
        <v>28</v>
      </c>
      <c r="G239" t="s">
        <v>23</v>
      </c>
      <c r="H239" s="3">
        <v>32787</v>
      </c>
      <c r="I239" s="3">
        <v>8963</v>
      </c>
      <c r="J239" s="3">
        <v>6035</v>
      </c>
      <c r="K239" s="3">
        <v>212</v>
      </c>
      <c r="L239" s="3">
        <v>31</v>
      </c>
      <c r="M239" s="3">
        <v>19</v>
      </c>
      <c r="N239" s="3">
        <v>18</v>
      </c>
      <c r="O239" s="3">
        <v>103</v>
      </c>
      <c r="P239" s="3"/>
      <c r="Q239" s="3">
        <v>280</v>
      </c>
      <c r="R239" s="4">
        <v>4.6399999999999997</v>
      </c>
      <c r="S239" s="6">
        <f>GlowNestSocialTable[[#This Row],[Link Clicks]]/GlowNestSocialTable[[#This Row],[Reach]]</f>
        <v>1.7067108533554268E-2</v>
      </c>
    </row>
    <row r="240" spans="1:19">
      <c r="A240" t="s">
        <v>275</v>
      </c>
      <c r="B240" s="2">
        <v>45801</v>
      </c>
      <c r="C240" t="s">
        <v>36</v>
      </c>
      <c r="D240" t="s">
        <v>20</v>
      </c>
      <c r="E240" t="s">
        <v>21</v>
      </c>
      <c r="F240" t="s">
        <v>42</v>
      </c>
      <c r="G240" t="s">
        <v>23</v>
      </c>
      <c r="H240" s="3">
        <v>87688</v>
      </c>
      <c r="I240" s="3">
        <v>77616</v>
      </c>
      <c r="J240" s="3">
        <v>58819</v>
      </c>
      <c r="K240" s="3">
        <v>1595</v>
      </c>
      <c r="L240" s="3">
        <v>226</v>
      </c>
      <c r="M240" s="3">
        <v>155</v>
      </c>
      <c r="N240" s="3">
        <v>294</v>
      </c>
      <c r="O240" s="3">
        <v>242</v>
      </c>
      <c r="P240" s="3">
        <v>49021</v>
      </c>
      <c r="Q240" s="3">
        <v>2270</v>
      </c>
      <c r="R240" s="4">
        <v>3.86</v>
      </c>
      <c r="S240" s="6">
        <f>GlowNestSocialTable[[#This Row],[Link Clicks]]/GlowNestSocialTable[[#This Row],[Reach]]</f>
        <v>4.114316802393784E-3</v>
      </c>
    </row>
    <row r="241" spans="1:19">
      <c r="A241" t="s">
        <v>276</v>
      </c>
      <c r="B241" s="2">
        <v>45802</v>
      </c>
      <c r="C241" t="s">
        <v>36</v>
      </c>
      <c r="D241" t="s">
        <v>20</v>
      </c>
      <c r="E241" t="s">
        <v>25</v>
      </c>
      <c r="F241" t="s">
        <v>22</v>
      </c>
      <c r="G241" t="s">
        <v>38</v>
      </c>
      <c r="H241" s="3">
        <v>87135</v>
      </c>
      <c r="I241" s="3">
        <v>96870</v>
      </c>
      <c r="J241" s="3">
        <v>81983</v>
      </c>
      <c r="K241" s="3">
        <v>970</v>
      </c>
      <c r="L241" s="3">
        <v>145</v>
      </c>
      <c r="M241" s="3">
        <v>140</v>
      </c>
      <c r="N241" s="3">
        <v>212</v>
      </c>
      <c r="O241" s="3">
        <v>385</v>
      </c>
      <c r="P241" s="3">
        <v>66777</v>
      </c>
      <c r="Q241" s="3">
        <v>1467</v>
      </c>
      <c r="R241" s="4">
        <v>1.79</v>
      </c>
      <c r="S241" s="6">
        <f>GlowNestSocialTable[[#This Row],[Link Clicks]]/GlowNestSocialTable[[#This Row],[Reach]]</f>
        <v>4.6960955320005365E-3</v>
      </c>
    </row>
    <row r="242" spans="1:19">
      <c r="A242" t="s">
        <v>277</v>
      </c>
      <c r="B242" s="2">
        <v>45802</v>
      </c>
      <c r="C242" t="s">
        <v>33</v>
      </c>
      <c r="D242" t="s">
        <v>30</v>
      </c>
      <c r="E242" t="s">
        <v>25</v>
      </c>
      <c r="F242" t="s">
        <v>44</v>
      </c>
      <c r="G242" t="s">
        <v>23</v>
      </c>
      <c r="H242" s="3">
        <v>34003</v>
      </c>
      <c r="I242" s="3">
        <v>10561</v>
      </c>
      <c r="J242" s="3">
        <v>9540</v>
      </c>
      <c r="K242" s="3">
        <v>128</v>
      </c>
      <c r="L242" s="3">
        <v>18</v>
      </c>
      <c r="M242" s="3">
        <v>13</v>
      </c>
      <c r="N242" s="3">
        <v>21</v>
      </c>
      <c r="O242" s="3">
        <v>71</v>
      </c>
      <c r="P242" s="3"/>
      <c r="Q242" s="3">
        <v>180</v>
      </c>
      <c r="R242" s="4">
        <v>1.89</v>
      </c>
      <c r="S242" s="6">
        <f>GlowNestSocialTable[[#This Row],[Link Clicks]]/GlowNestSocialTable[[#This Row],[Reach]]</f>
        <v>7.442348008385744E-3</v>
      </c>
    </row>
    <row r="243" spans="1:19">
      <c r="A243" t="s">
        <v>278</v>
      </c>
      <c r="B243" s="2">
        <v>45803</v>
      </c>
      <c r="C243" t="s">
        <v>19</v>
      </c>
      <c r="D243" t="s">
        <v>34</v>
      </c>
      <c r="E243" t="s">
        <v>27</v>
      </c>
      <c r="F243" t="s">
        <v>31</v>
      </c>
      <c r="G243" t="s">
        <v>23</v>
      </c>
      <c r="H243" s="3">
        <v>70184</v>
      </c>
      <c r="I243" s="3">
        <v>31710</v>
      </c>
      <c r="J243" s="3">
        <v>22723</v>
      </c>
      <c r="K243" s="3">
        <v>708</v>
      </c>
      <c r="L243" s="3">
        <v>102</v>
      </c>
      <c r="M243" s="3">
        <v>86</v>
      </c>
      <c r="N243" s="3">
        <v>47</v>
      </c>
      <c r="O243" s="3">
        <v>294</v>
      </c>
      <c r="P243" s="3"/>
      <c r="Q243" s="3">
        <v>943</v>
      </c>
      <c r="R243" s="4">
        <v>4.1500000000000004</v>
      </c>
      <c r="S243" s="6">
        <f>GlowNestSocialTable[[#This Row],[Link Clicks]]/GlowNestSocialTable[[#This Row],[Reach]]</f>
        <v>1.2938432425295956E-2</v>
      </c>
    </row>
    <row r="244" spans="1:19">
      <c r="A244" t="s">
        <v>279</v>
      </c>
      <c r="B244" s="2">
        <v>45803</v>
      </c>
      <c r="C244" t="s">
        <v>36</v>
      </c>
      <c r="D244" t="s">
        <v>34</v>
      </c>
      <c r="E244" t="s">
        <v>25</v>
      </c>
      <c r="F244" t="s">
        <v>28</v>
      </c>
      <c r="G244" t="s">
        <v>23</v>
      </c>
      <c r="H244" s="3">
        <v>82508</v>
      </c>
      <c r="I244" s="3">
        <v>51000</v>
      </c>
      <c r="J244" s="3">
        <v>33671</v>
      </c>
      <c r="K244" s="3">
        <v>273</v>
      </c>
      <c r="L244" s="3">
        <v>42</v>
      </c>
      <c r="M244" s="3">
        <v>23</v>
      </c>
      <c r="N244" s="3">
        <v>13</v>
      </c>
      <c r="O244" s="3">
        <v>162</v>
      </c>
      <c r="P244" s="3"/>
      <c r="Q244" s="3">
        <v>351</v>
      </c>
      <c r="R244" s="4">
        <v>1.04</v>
      </c>
      <c r="S244" s="6">
        <f>GlowNestSocialTable[[#This Row],[Link Clicks]]/GlowNestSocialTable[[#This Row],[Reach]]</f>
        <v>4.8112619167829879E-3</v>
      </c>
    </row>
    <row r="245" spans="1:19">
      <c r="A245" t="s">
        <v>280</v>
      </c>
      <c r="B245" s="2">
        <v>45804</v>
      </c>
      <c r="C245" t="s">
        <v>33</v>
      </c>
      <c r="D245" t="s">
        <v>30</v>
      </c>
      <c r="E245" t="s">
        <v>46</v>
      </c>
      <c r="F245" t="s">
        <v>44</v>
      </c>
      <c r="G245" t="s">
        <v>38</v>
      </c>
      <c r="H245" s="3">
        <v>31714</v>
      </c>
      <c r="I245" s="3">
        <v>16380</v>
      </c>
      <c r="J245" s="3">
        <v>12271</v>
      </c>
      <c r="K245" s="3">
        <v>235</v>
      </c>
      <c r="L245" s="3">
        <v>37</v>
      </c>
      <c r="M245" s="3">
        <v>27</v>
      </c>
      <c r="N245" s="3">
        <v>34</v>
      </c>
      <c r="O245" s="3">
        <v>159</v>
      </c>
      <c r="P245" s="3"/>
      <c r="Q245" s="3">
        <v>333</v>
      </c>
      <c r="R245" s="4">
        <v>2.71</v>
      </c>
      <c r="S245" s="6">
        <f>GlowNestSocialTable[[#This Row],[Link Clicks]]/GlowNestSocialTable[[#This Row],[Reach]]</f>
        <v>1.2957379186700351E-2</v>
      </c>
    </row>
    <row r="246" spans="1:19">
      <c r="A246" t="s">
        <v>281</v>
      </c>
      <c r="B246" s="2">
        <v>45805</v>
      </c>
      <c r="C246" t="s">
        <v>33</v>
      </c>
      <c r="D246" t="s">
        <v>34</v>
      </c>
      <c r="E246" t="s">
        <v>25</v>
      </c>
      <c r="F246" t="s">
        <v>31</v>
      </c>
      <c r="G246" t="s">
        <v>23</v>
      </c>
      <c r="H246" s="3">
        <v>35361</v>
      </c>
      <c r="I246" s="3">
        <v>7237</v>
      </c>
      <c r="J246" s="3">
        <v>5618</v>
      </c>
      <c r="K246" s="3">
        <v>89</v>
      </c>
      <c r="L246" s="3">
        <v>15</v>
      </c>
      <c r="M246" s="3">
        <v>13</v>
      </c>
      <c r="N246" s="3">
        <v>3</v>
      </c>
      <c r="O246" s="3">
        <v>53</v>
      </c>
      <c r="P246" s="3"/>
      <c r="Q246" s="3">
        <v>120</v>
      </c>
      <c r="R246" s="4">
        <v>2.14</v>
      </c>
      <c r="S246" s="6">
        <f>GlowNestSocialTable[[#This Row],[Link Clicks]]/GlowNestSocialTable[[#This Row],[Reach]]</f>
        <v>9.433962264150943E-3</v>
      </c>
    </row>
    <row r="247" spans="1:19">
      <c r="A247" t="s">
        <v>282</v>
      </c>
      <c r="B247" s="2">
        <v>45805</v>
      </c>
      <c r="C247" t="s">
        <v>36</v>
      </c>
      <c r="D247" t="s">
        <v>30</v>
      </c>
      <c r="E247" t="s">
        <v>49</v>
      </c>
      <c r="F247" t="s">
        <v>31</v>
      </c>
      <c r="G247" t="s">
        <v>23</v>
      </c>
      <c r="H247" s="3">
        <v>85000</v>
      </c>
      <c r="I247" s="3">
        <v>54872</v>
      </c>
      <c r="J247" s="3">
        <v>39852</v>
      </c>
      <c r="K247" s="3">
        <v>464</v>
      </c>
      <c r="L247" s="3">
        <v>77</v>
      </c>
      <c r="M247" s="3">
        <v>76</v>
      </c>
      <c r="N247" s="3">
        <v>45</v>
      </c>
      <c r="O247" s="3">
        <v>114</v>
      </c>
      <c r="P247" s="3"/>
      <c r="Q247" s="3">
        <v>662</v>
      </c>
      <c r="R247" s="4">
        <v>1.66</v>
      </c>
      <c r="S247" s="6">
        <f>GlowNestSocialTable[[#This Row],[Link Clicks]]/GlowNestSocialTable[[#This Row],[Reach]]</f>
        <v>2.8605841613971697E-3</v>
      </c>
    </row>
    <row r="248" spans="1:19">
      <c r="A248" t="s">
        <v>283</v>
      </c>
      <c r="B248" s="2">
        <v>45806</v>
      </c>
      <c r="C248" t="s">
        <v>19</v>
      </c>
      <c r="D248" t="s">
        <v>20</v>
      </c>
      <c r="E248" t="s">
        <v>46</v>
      </c>
      <c r="F248" t="s">
        <v>28</v>
      </c>
      <c r="G248" t="s">
        <v>23</v>
      </c>
      <c r="H248" s="3">
        <v>70629</v>
      </c>
      <c r="I248" s="3">
        <v>39793</v>
      </c>
      <c r="J248" s="3">
        <v>29304</v>
      </c>
      <c r="K248" s="3">
        <v>1207</v>
      </c>
      <c r="L248" s="3">
        <v>128</v>
      </c>
      <c r="M248" s="3">
        <v>107</v>
      </c>
      <c r="N248" s="3">
        <v>465</v>
      </c>
      <c r="O248" s="3">
        <v>376</v>
      </c>
      <c r="P248" s="3">
        <v>17984</v>
      </c>
      <c r="Q248" s="3">
        <v>1907</v>
      </c>
      <c r="R248" s="4">
        <v>6.51</v>
      </c>
      <c r="S248" s="6">
        <f>GlowNestSocialTable[[#This Row],[Link Clicks]]/GlowNestSocialTable[[#This Row],[Reach]]</f>
        <v>1.2831012831012831E-2</v>
      </c>
    </row>
    <row r="249" spans="1:19">
      <c r="A249" t="s">
        <v>284</v>
      </c>
      <c r="B249" s="2">
        <v>45806</v>
      </c>
      <c r="C249" t="s">
        <v>36</v>
      </c>
      <c r="D249" t="s">
        <v>37</v>
      </c>
      <c r="E249" t="s">
        <v>27</v>
      </c>
      <c r="F249" t="s">
        <v>44</v>
      </c>
      <c r="G249" t="s">
        <v>23</v>
      </c>
      <c r="H249" s="3">
        <v>86369</v>
      </c>
      <c r="I249" s="3">
        <v>52345</v>
      </c>
      <c r="J249" s="3">
        <v>35796</v>
      </c>
      <c r="K249" s="3">
        <v>672</v>
      </c>
      <c r="L249" s="3">
        <v>119</v>
      </c>
      <c r="M249" s="3">
        <v>118</v>
      </c>
      <c r="N249" s="3">
        <v>181</v>
      </c>
      <c r="O249" s="3">
        <v>232</v>
      </c>
      <c r="P249" s="3"/>
      <c r="Q249" s="3">
        <v>1090</v>
      </c>
      <c r="R249" s="4">
        <v>3.05</v>
      </c>
      <c r="S249" s="6">
        <f>GlowNestSocialTable[[#This Row],[Link Clicks]]/GlowNestSocialTable[[#This Row],[Reach]]</f>
        <v>6.481171080567661E-3</v>
      </c>
    </row>
    <row r="250" spans="1:19">
      <c r="A250" t="s">
        <v>285</v>
      </c>
      <c r="B250" s="2">
        <v>45807</v>
      </c>
      <c r="C250" t="s">
        <v>19</v>
      </c>
      <c r="D250" t="s">
        <v>20</v>
      </c>
      <c r="E250" t="s">
        <v>27</v>
      </c>
      <c r="F250" t="s">
        <v>31</v>
      </c>
      <c r="G250" t="s">
        <v>38</v>
      </c>
      <c r="H250" s="3">
        <v>72265</v>
      </c>
      <c r="I250" s="3">
        <v>46936</v>
      </c>
      <c r="J250" s="3">
        <v>41721</v>
      </c>
      <c r="K250" s="3">
        <v>2086</v>
      </c>
      <c r="L250" s="3">
        <v>385</v>
      </c>
      <c r="M250" s="3">
        <v>214</v>
      </c>
      <c r="N250" s="3">
        <v>965</v>
      </c>
      <c r="O250" s="3">
        <v>543</v>
      </c>
      <c r="P250" s="3">
        <v>29002</v>
      </c>
      <c r="Q250" s="3">
        <v>3650</v>
      </c>
      <c r="R250" s="4">
        <v>8.75</v>
      </c>
      <c r="S250" s="6">
        <f>GlowNestSocialTable[[#This Row],[Link Clicks]]/GlowNestSocialTable[[#This Row],[Reach]]</f>
        <v>1.3015028402962536E-2</v>
      </c>
    </row>
    <row r="251" spans="1:19">
      <c r="A251" t="s">
        <v>286</v>
      </c>
      <c r="B251" s="2">
        <v>45808</v>
      </c>
      <c r="C251" t="s">
        <v>19</v>
      </c>
      <c r="D251" t="s">
        <v>37</v>
      </c>
      <c r="E251" t="s">
        <v>27</v>
      </c>
      <c r="F251" t="s">
        <v>28</v>
      </c>
      <c r="G251" t="s">
        <v>38</v>
      </c>
      <c r="H251" s="3">
        <v>70707</v>
      </c>
      <c r="I251" s="3">
        <v>82980</v>
      </c>
      <c r="J251" s="3">
        <v>53671</v>
      </c>
      <c r="K251" s="3">
        <v>2562</v>
      </c>
      <c r="L251" s="3">
        <v>338</v>
      </c>
      <c r="M251" s="3">
        <v>230</v>
      </c>
      <c r="N251" s="3">
        <v>627</v>
      </c>
      <c r="O251" s="3">
        <v>529</v>
      </c>
      <c r="P251" s="3"/>
      <c r="Q251" s="3">
        <v>3757</v>
      </c>
      <c r="R251" s="4">
        <v>7</v>
      </c>
      <c r="S251" s="6">
        <f>GlowNestSocialTable[[#This Row],[Link Clicks]]/GlowNestSocialTable[[#This Row],[Reach]]</f>
        <v>9.8563470030370217E-3</v>
      </c>
    </row>
    <row r="252" spans="1:19">
      <c r="A252" t="s">
        <v>287</v>
      </c>
      <c r="B252" s="2">
        <v>45808</v>
      </c>
      <c r="C252" t="s">
        <v>19</v>
      </c>
      <c r="D252" t="s">
        <v>37</v>
      </c>
      <c r="E252" t="s">
        <v>49</v>
      </c>
      <c r="F252" t="s">
        <v>42</v>
      </c>
      <c r="G252" t="s">
        <v>23</v>
      </c>
      <c r="H252" s="3">
        <v>72580</v>
      </c>
      <c r="I252" s="3">
        <v>31070</v>
      </c>
      <c r="J252" s="3">
        <v>20162</v>
      </c>
      <c r="K252" s="3">
        <v>836</v>
      </c>
      <c r="L252" s="3">
        <v>156</v>
      </c>
      <c r="M252" s="3">
        <v>97</v>
      </c>
      <c r="N252" s="3">
        <v>230</v>
      </c>
      <c r="O252" s="3">
        <v>210</v>
      </c>
      <c r="P252" s="3"/>
      <c r="Q252" s="3">
        <v>1319</v>
      </c>
      <c r="R252" s="4">
        <v>6.54</v>
      </c>
      <c r="S252" s="6">
        <f>GlowNestSocialTable[[#This Row],[Link Clicks]]/GlowNestSocialTable[[#This Row],[Reach]]</f>
        <v>1.0415633369705387E-2</v>
      </c>
    </row>
    <row r="253" spans="1:19">
      <c r="A253" t="s">
        <v>288</v>
      </c>
      <c r="B253" s="2">
        <v>45809</v>
      </c>
      <c r="C253" t="s">
        <v>33</v>
      </c>
      <c r="D253" t="s">
        <v>30</v>
      </c>
      <c r="E253" t="s">
        <v>21</v>
      </c>
      <c r="F253" t="s">
        <v>42</v>
      </c>
      <c r="G253" t="s">
        <v>38</v>
      </c>
      <c r="H253" s="3">
        <v>32988</v>
      </c>
      <c r="I253" s="3">
        <v>13464</v>
      </c>
      <c r="J253" s="3">
        <v>12459</v>
      </c>
      <c r="K253" s="3">
        <v>301</v>
      </c>
      <c r="L253" s="3">
        <v>36</v>
      </c>
      <c r="M253" s="3">
        <v>39</v>
      </c>
      <c r="N253" s="3">
        <v>52</v>
      </c>
      <c r="O253" s="3">
        <v>144</v>
      </c>
      <c r="P253" s="3"/>
      <c r="Q253" s="3">
        <v>428</v>
      </c>
      <c r="R253" s="4">
        <v>3.44</v>
      </c>
      <c r="S253" s="6">
        <f>GlowNestSocialTable[[#This Row],[Link Clicks]]/GlowNestSocialTable[[#This Row],[Reach]]</f>
        <v>1.1557909944618349E-2</v>
      </c>
    </row>
    <row r="254" spans="1:19">
      <c r="A254" t="s">
        <v>289</v>
      </c>
      <c r="B254" s="2">
        <v>45809</v>
      </c>
      <c r="C254" t="s">
        <v>33</v>
      </c>
      <c r="D254" t="s">
        <v>30</v>
      </c>
      <c r="E254" t="s">
        <v>25</v>
      </c>
      <c r="F254" t="s">
        <v>44</v>
      </c>
      <c r="G254" t="s">
        <v>23</v>
      </c>
      <c r="H254" s="3">
        <v>34323</v>
      </c>
      <c r="I254" s="3">
        <v>12492</v>
      </c>
      <c r="J254" s="3">
        <v>9873</v>
      </c>
      <c r="K254" s="3">
        <v>133</v>
      </c>
      <c r="L254" s="3">
        <v>13</v>
      </c>
      <c r="M254" s="3">
        <v>19</v>
      </c>
      <c r="N254" s="3">
        <v>14</v>
      </c>
      <c r="O254" s="3">
        <v>67</v>
      </c>
      <c r="P254" s="3"/>
      <c r="Q254" s="3">
        <v>179</v>
      </c>
      <c r="R254" s="4">
        <v>1.81</v>
      </c>
      <c r="S254" s="6">
        <f>GlowNestSocialTable[[#This Row],[Link Clicks]]/GlowNestSocialTable[[#This Row],[Reach]]</f>
        <v>6.7861845437050539E-3</v>
      </c>
    </row>
    <row r="255" spans="1:19">
      <c r="A255" t="s">
        <v>290</v>
      </c>
      <c r="B255" s="2">
        <v>45810</v>
      </c>
      <c r="C255" t="s">
        <v>33</v>
      </c>
      <c r="D255" t="s">
        <v>37</v>
      </c>
      <c r="E255" t="s">
        <v>49</v>
      </c>
      <c r="F255" t="s">
        <v>28</v>
      </c>
      <c r="G255" t="s">
        <v>23</v>
      </c>
      <c r="H255" s="3">
        <v>31924</v>
      </c>
      <c r="I255" s="3">
        <v>9872</v>
      </c>
      <c r="J255" s="3">
        <v>8428</v>
      </c>
      <c r="K255" s="3">
        <v>304</v>
      </c>
      <c r="L255" s="3">
        <v>41</v>
      </c>
      <c r="M255" s="3">
        <v>29</v>
      </c>
      <c r="N255" s="3">
        <v>38</v>
      </c>
      <c r="O255" s="3">
        <v>84</v>
      </c>
      <c r="P255" s="3"/>
      <c r="Q255" s="3">
        <v>412</v>
      </c>
      <c r="R255" s="4">
        <v>4.8899999999999997</v>
      </c>
      <c r="S255" s="6">
        <f>GlowNestSocialTable[[#This Row],[Link Clicks]]/GlowNestSocialTable[[#This Row],[Reach]]</f>
        <v>9.9667774086378731E-3</v>
      </c>
    </row>
    <row r="256" spans="1:19">
      <c r="A256" t="s">
        <v>291</v>
      </c>
      <c r="B256" s="2">
        <v>45811</v>
      </c>
      <c r="C256" t="s">
        <v>19</v>
      </c>
      <c r="D256" t="s">
        <v>37</v>
      </c>
      <c r="E256" t="s">
        <v>25</v>
      </c>
      <c r="F256" t="s">
        <v>44</v>
      </c>
      <c r="G256" t="s">
        <v>23</v>
      </c>
      <c r="H256" s="3">
        <v>71170</v>
      </c>
      <c r="I256" s="3">
        <v>32070</v>
      </c>
      <c r="J256" s="3">
        <v>22133</v>
      </c>
      <c r="K256" s="3">
        <v>516</v>
      </c>
      <c r="L256" s="3">
        <v>86</v>
      </c>
      <c r="M256" s="3">
        <v>71</v>
      </c>
      <c r="N256" s="3">
        <v>29</v>
      </c>
      <c r="O256" s="3">
        <v>226</v>
      </c>
      <c r="P256" s="3"/>
      <c r="Q256" s="3">
        <v>702</v>
      </c>
      <c r="R256" s="4">
        <v>3.17</v>
      </c>
      <c r="S256" s="6">
        <f>GlowNestSocialTable[[#This Row],[Link Clicks]]/GlowNestSocialTable[[#This Row],[Reach]]</f>
        <v>1.0210997153571591E-2</v>
      </c>
    </row>
    <row r="257" spans="1:19">
      <c r="A257" t="s">
        <v>292</v>
      </c>
      <c r="B257" s="2">
        <v>45811</v>
      </c>
      <c r="C257" t="s">
        <v>33</v>
      </c>
      <c r="D257" t="s">
        <v>30</v>
      </c>
      <c r="E257" t="s">
        <v>25</v>
      </c>
      <c r="F257" t="s">
        <v>42</v>
      </c>
      <c r="G257" t="s">
        <v>23</v>
      </c>
      <c r="H257" s="3">
        <v>34412</v>
      </c>
      <c r="I257" s="3">
        <v>10594</v>
      </c>
      <c r="J257" s="3">
        <v>7548</v>
      </c>
      <c r="K257" s="3">
        <v>97</v>
      </c>
      <c r="L257" s="3">
        <v>16</v>
      </c>
      <c r="M257" s="3">
        <v>10</v>
      </c>
      <c r="N257" s="3">
        <v>11</v>
      </c>
      <c r="O257" s="3">
        <v>51</v>
      </c>
      <c r="P257" s="3"/>
      <c r="Q257" s="3">
        <v>134</v>
      </c>
      <c r="R257" s="4">
        <v>1.78</v>
      </c>
      <c r="S257" s="6">
        <f>GlowNestSocialTable[[#This Row],[Link Clicks]]/GlowNestSocialTable[[#This Row],[Reach]]</f>
        <v>6.7567567567567571E-3</v>
      </c>
    </row>
    <row r="258" spans="1:19">
      <c r="A258" t="s">
        <v>293</v>
      </c>
      <c r="B258" s="2">
        <v>45812</v>
      </c>
      <c r="C258" t="s">
        <v>36</v>
      </c>
      <c r="D258" t="s">
        <v>20</v>
      </c>
      <c r="E258" t="s">
        <v>27</v>
      </c>
      <c r="F258" t="s">
        <v>42</v>
      </c>
      <c r="G258" t="s">
        <v>23</v>
      </c>
      <c r="H258" s="3">
        <v>84196</v>
      </c>
      <c r="I258" s="3">
        <v>58478</v>
      </c>
      <c r="J258" s="3">
        <v>41593</v>
      </c>
      <c r="K258" s="3">
        <v>1024</v>
      </c>
      <c r="L258" s="3">
        <v>201</v>
      </c>
      <c r="M258" s="3">
        <v>165</v>
      </c>
      <c r="N258" s="3">
        <v>358</v>
      </c>
      <c r="O258" s="3">
        <v>205</v>
      </c>
      <c r="P258" s="3">
        <v>26034</v>
      </c>
      <c r="Q258" s="3">
        <v>1748</v>
      </c>
      <c r="R258" s="4">
        <v>4.2</v>
      </c>
      <c r="S258" s="6">
        <f>GlowNestSocialTable[[#This Row],[Link Clicks]]/GlowNestSocialTable[[#This Row],[Reach]]</f>
        <v>4.928713966292405E-3</v>
      </c>
    </row>
    <row r="259" spans="1:19">
      <c r="A259" t="s">
        <v>294</v>
      </c>
      <c r="B259" s="2">
        <v>45812</v>
      </c>
      <c r="C259" t="s">
        <v>19</v>
      </c>
      <c r="D259" t="s">
        <v>30</v>
      </c>
      <c r="E259" t="s">
        <v>46</v>
      </c>
      <c r="F259" t="s">
        <v>22</v>
      </c>
      <c r="G259" t="s">
        <v>38</v>
      </c>
      <c r="H259" s="3">
        <v>72814</v>
      </c>
      <c r="I259" s="3">
        <v>32363</v>
      </c>
      <c r="J259" s="3">
        <v>28381</v>
      </c>
      <c r="K259" s="3">
        <v>879</v>
      </c>
      <c r="L259" s="3">
        <v>115</v>
      </c>
      <c r="M259" s="3">
        <v>86</v>
      </c>
      <c r="N259" s="3">
        <v>194</v>
      </c>
      <c r="O259" s="3">
        <v>260</v>
      </c>
      <c r="P259" s="3"/>
      <c r="Q259" s="3">
        <v>1274</v>
      </c>
      <c r="R259" s="4">
        <v>4.49</v>
      </c>
      <c r="S259" s="6">
        <f>GlowNestSocialTable[[#This Row],[Link Clicks]]/GlowNestSocialTable[[#This Row],[Reach]]</f>
        <v>9.1610584545999078E-3</v>
      </c>
    </row>
    <row r="260" spans="1:19">
      <c r="A260" t="s">
        <v>295</v>
      </c>
      <c r="B260" s="2">
        <v>45813</v>
      </c>
      <c r="C260" t="s">
        <v>33</v>
      </c>
      <c r="D260" t="s">
        <v>20</v>
      </c>
      <c r="E260" t="s">
        <v>27</v>
      </c>
      <c r="F260" t="s">
        <v>31</v>
      </c>
      <c r="G260" t="s">
        <v>23</v>
      </c>
      <c r="H260" s="3">
        <v>34637</v>
      </c>
      <c r="I260" s="3">
        <v>15102</v>
      </c>
      <c r="J260" s="3">
        <v>11883</v>
      </c>
      <c r="K260" s="3">
        <v>451</v>
      </c>
      <c r="L260" s="3">
        <v>49</v>
      </c>
      <c r="M260" s="3">
        <v>45</v>
      </c>
      <c r="N260" s="3">
        <v>152</v>
      </c>
      <c r="O260" s="3">
        <v>206</v>
      </c>
      <c r="P260" s="3">
        <v>9109</v>
      </c>
      <c r="Q260" s="3">
        <v>697</v>
      </c>
      <c r="R260" s="4">
        <v>5.87</v>
      </c>
      <c r="S260" s="6">
        <f>GlowNestSocialTable[[#This Row],[Link Clicks]]/GlowNestSocialTable[[#This Row],[Reach]]</f>
        <v>1.7335689640663132E-2</v>
      </c>
    </row>
    <row r="261" spans="1:19">
      <c r="A261" t="s">
        <v>296</v>
      </c>
      <c r="B261" s="2">
        <v>45814</v>
      </c>
      <c r="C261" t="s">
        <v>36</v>
      </c>
      <c r="D261" t="s">
        <v>37</v>
      </c>
      <c r="E261" t="s">
        <v>21</v>
      </c>
      <c r="F261" t="s">
        <v>22</v>
      </c>
      <c r="G261" t="s">
        <v>23</v>
      </c>
      <c r="H261" s="3">
        <v>85591</v>
      </c>
      <c r="I261" s="3">
        <v>46037</v>
      </c>
      <c r="J261" s="3">
        <v>37799</v>
      </c>
      <c r="K261" s="3">
        <v>697</v>
      </c>
      <c r="L261" s="3">
        <v>101</v>
      </c>
      <c r="M261" s="3">
        <v>94</v>
      </c>
      <c r="N261" s="3">
        <v>58</v>
      </c>
      <c r="O261" s="3">
        <v>230</v>
      </c>
      <c r="P261" s="3"/>
      <c r="Q261" s="3">
        <v>950</v>
      </c>
      <c r="R261" s="4">
        <v>2.5099999999999998</v>
      </c>
      <c r="S261" s="6">
        <f>GlowNestSocialTable[[#This Row],[Link Clicks]]/GlowNestSocialTable[[#This Row],[Reach]]</f>
        <v>6.0848170586523453E-3</v>
      </c>
    </row>
    <row r="262" spans="1:19">
      <c r="A262" t="s">
        <v>297</v>
      </c>
      <c r="B262" s="2">
        <v>45814</v>
      </c>
      <c r="C262" t="s">
        <v>19</v>
      </c>
      <c r="D262" t="s">
        <v>20</v>
      </c>
      <c r="E262" t="s">
        <v>21</v>
      </c>
      <c r="F262" t="s">
        <v>44</v>
      </c>
      <c r="G262" t="s">
        <v>23</v>
      </c>
      <c r="H262" s="3">
        <v>72514</v>
      </c>
      <c r="I262" s="3">
        <v>35803</v>
      </c>
      <c r="J262" s="3">
        <v>31086</v>
      </c>
      <c r="K262" s="3">
        <v>1223</v>
      </c>
      <c r="L262" s="3">
        <v>137</v>
      </c>
      <c r="M262" s="3">
        <v>187</v>
      </c>
      <c r="N262" s="3">
        <v>526</v>
      </c>
      <c r="O262" s="3">
        <v>365</v>
      </c>
      <c r="P262" s="3">
        <v>18192</v>
      </c>
      <c r="Q262" s="3">
        <v>2073</v>
      </c>
      <c r="R262" s="4">
        <v>6.67</v>
      </c>
      <c r="S262" s="6">
        <f>GlowNestSocialTable[[#This Row],[Link Clicks]]/GlowNestSocialTable[[#This Row],[Reach]]</f>
        <v>1.1741620021874798E-2</v>
      </c>
    </row>
    <row r="263" spans="1:19">
      <c r="A263" t="s">
        <v>298</v>
      </c>
      <c r="B263" s="2">
        <v>45815</v>
      </c>
      <c r="C263" t="s">
        <v>33</v>
      </c>
      <c r="D263" t="s">
        <v>34</v>
      </c>
      <c r="E263" t="s">
        <v>27</v>
      </c>
      <c r="F263" t="s">
        <v>42</v>
      </c>
      <c r="G263" t="s">
        <v>23</v>
      </c>
      <c r="H263" s="3">
        <v>35487</v>
      </c>
      <c r="I263" s="3">
        <v>13378</v>
      </c>
      <c r="J263" s="3">
        <v>9527</v>
      </c>
      <c r="K263" s="3">
        <v>277</v>
      </c>
      <c r="L263" s="3">
        <v>27</v>
      </c>
      <c r="M263" s="3">
        <v>41</v>
      </c>
      <c r="N263" s="3">
        <v>34</v>
      </c>
      <c r="O263" s="3">
        <v>196</v>
      </c>
      <c r="P263" s="3"/>
      <c r="Q263" s="3">
        <v>379</v>
      </c>
      <c r="R263" s="4">
        <v>3.98</v>
      </c>
      <c r="S263" s="6">
        <f>GlowNestSocialTable[[#This Row],[Link Clicks]]/GlowNestSocialTable[[#This Row],[Reach]]</f>
        <v>2.0573108008817047E-2</v>
      </c>
    </row>
    <row r="264" spans="1:19">
      <c r="A264" t="s">
        <v>299</v>
      </c>
      <c r="B264" s="2">
        <v>45815</v>
      </c>
      <c r="C264" t="s">
        <v>19</v>
      </c>
      <c r="D264" t="s">
        <v>30</v>
      </c>
      <c r="E264" t="s">
        <v>21</v>
      </c>
      <c r="F264" t="s">
        <v>28</v>
      </c>
      <c r="G264" t="s">
        <v>23</v>
      </c>
      <c r="H264" s="3">
        <v>73015</v>
      </c>
      <c r="I264" s="3">
        <v>32514</v>
      </c>
      <c r="J264" s="3">
        <v>27224</v>
      </c>
      <c r="K264" s="3">
        <v>1141</v>
      </c>
      <c r="L264" s="3">
        <v>115</v>
      </c>
      <c r="M264" s="3">
        <v>109</v>
      </c>
      <c r="N264" s="3">
        <v>216</v>
      </c>
      <c r="O264" s="3">
        <v>295</v>
      </c>
      <c r="P264" s="3"/>
      <c r="Q264" s="3">
        <v>1581</v>
      </c>
      <c r="R264" s="4">
        <v>5.81</v>
      </c>
      <c r="S264" s="6">
        <f>GlowNestSocialTable[[#This Row],[Link Clicks]]/GlowNestSocialTable[[#This Row],[Reach]]</f>
        <v>1.0836027034969145E-2</v>
      </c>
    </row>
    <row r="265" spans="1:19">
      <c r="A265" t="s">
        <v>300</v>
      </c>
      <c r="B265" s="2">
        <v>45816</v>
      </c>
      <c r="C265" t="s">
        <v>19</v>
      </c>
      <c r="D265" t="s">
        <v>37</v>
      </c>
      <c r="E265" t="s">
        <v>25</v>
      </c>
      <c r="F265" t="s">
        <v>42</v>
      </c>
      <c r="G265" t="s">
        <v>23</v>
      </c>
      <c r="H265" s="3">
        <v>70956</v>
      </c>
      <c r="I265" s="3">
        <v>35625</v>
      </c>
      <c r="J265" s="3">
        <v>27492</v>
      </c>
      <c r="K265" s="3">
        <v>806</v>
      </c>
      <c r="L265" s="3">
        <v>129</v>
      </c>
      <c r="M265" s="3">
        <v>91</v>
      </c>
      <c r="N265" s="3">
        <v>127</v>
      </c>
      <c r="O265" s="3">
        <v>300</v>
      </c>
      <c r="P265" s="3"/>
      <c r="Q265" s="3">
        <v>1153</v>
      </c>
      <c r="R265" s="4">
        <v>4.1900000000000004</v>
      </c>
      <c r="S265" s="6">
        <f>GlowNestSocialTable[[#This Row],[Link Clicks]]/GlowNestSocialTable[[#This Row],[Reach]]</f>
        <v>1.0912265386294195E-2</v>
      </c>
    </row>
    <row r="266" spans="1:19">
      <c r="A266" t="s">
        <v>301</v>
      </c>
      <c r="B266" s="2">
        <v>45817</v>
      </c>
      <c r="C266" t="s">
        <v>19</v>
      </c>
      <c r="D266" t="s">
        <v>20</v>
      </c>
      <c r="E266" t="s">
        <v>21</v>
      </c>
      <c r="F266" t="s">
        <v>28</v>
      </c>
      <c r="G266" t="s">
        <v>23</v>
      </c>
      <c r="H266" s="3">
        <v>69052</v>
      </c>
      <c r="I266" s="3">
        <v>48599</v>
      </c>
      <c r="J266" s="3">
        <v>31925</v>
      </c>
      <c r="K266" s="3">
        <v>1639</v>
      </c>
      <c r="L266" s="3">
        <v>264</v>
      </c>
      <c r="M266" s="3">
        <v>140</v>
      </c>
      <c r="N266" s="3">
        <v>323</v>
      </c>
      <c r="O266" s="3">
        <v>253</v>
      </c>
      <c r="P266" s="3">
        <v>24218</v>
      </c>
      <c r="Q266" s="3">
        <v>2366</v>
      </c>
      <c r="R266" s="4">
        <v>7.41</v>
      </c>
      <c r="S266" s="6">
        <f>GlowNestSocialTable[[#This Row],[Link Clicks]]/GlowNestSocialTable[[#This Row],[Reach]]</f>
        <v>7.9248238057948311E-3</v>
      </c>
    </row>
    <row r="267" spans="1:19">
      <c r="A267" t="s">
        <v>302</v>
      </c>
      <c r="B267" s="2">
        <v>45817</v>
      </c>
      <c r="C267" t="s">
        <v>33</v>
      </c>
      <c r="D267" t="s">
        <v>20</v>
      </c>
      <c r="E267" t="s">
        <v>46</v>
      </c>
      <c r="F267" t="s">
        <v>44</v>
      </c>
      <c r="G267" t="s">
        <v>23</v>
      </c>
      <c r="H267" s="3">
        <v>33749</v>
      </c>
      <c r="I267" s="3">
        <v>9569</v>
      </c>
      <c r="J267" s="3">
        <v>7001</v>
      </c>
      <c r="K267" s="3">
        <v>234</v>
      </c>
      <c r="L267" s="3">
        <v>40</v>
      </c>
      <c r="M267" s="3">
        <v>34</v>
      </c>
      <c r="N267" s="3">
        <v>63</v>
      </c>
      <c r="O267" s="3">
        <v>83</v>
      </c>
      <c r="P267" s="3">
        <v>5936</v>
      </c>
      <c r="Q267" s="3">
        <v>371</v>
      </c>
      <c r="R267" s="4">
        <v>5.3</v>
      </c>
      <c r="S267" s="6">
        <f>GlowNestSocialTable[[#This Row],[Link Clicks]]/GlowNestSocialTable[[#This Row],[Reach]]</f>
        <v>1.185544922153978E-2</v>
      </c>
    </row>
    <row r="268" spans="1:19">
      <c r="A268" t="s">
        <v>303</v>
      </c>
      <c r="B268" s="2">
        <v>45818</v>
      </c>
      <c r="C268" t="s">
        <v>36</v>
      </c>
      <c r="D268" t="s">
        <v>30</v>
      </c>
      <c r="E268" t="s">
        <v>49</v>
      </c>
      <c r="F268" t="s">
        <v>42</v>
      </c>
      <c r="G268" t="s">
        <v>23</v>
      </c>
      <c r="H268" s="3">
        <v>86100</v>
      </c>
      <c r="I268" s="3">
        <v>50052</v>
      </c>
      <c r="J268" s="3">
        <v>42359</v>
      </c>
      <c r="K268" s="3">
        <v>463</v>
      </c>
      <c r="L268" s="3">
        <v>78</v>
      </c>
      <c r="M268" s="3">
        <v>73</v>
      </c>
      <c r="N268" s="3">
        <v>59</v>
      </c>
      <c r="O268" s="3">
        <v>157</v>
      </c>
      <c r="P268" s="3"/>
      <c r="Q268" s="3">
        <v>673</v>
      </c>
      <c r="R268" s="4">
        <v>1.59</v>
      </c>
      <c r="S268" s="6">
        <f>GlowNestSocialTable[[#This Row],[Link Clicks]]/GlowNestSocialTable[[#This Row],[Reach]]</f>
        <v>3.7064142212988975E-3</v>
      </c>
    </row>
    <row r="269" spans="1:19">
      <c r="A269" t="s">
        <v>304</v>
      </c>
      <c r="B269" s="2">
        <v>45819</v>
      </c>
      <c r="C269" t="s">
        <v>33</v>
      </c>
      <c r="D269" t="s">
        <v>34</v>
      </c>
      <c r="E269" t="s">
        <v>46</v>
      </c>
      <c r="F269" t="s">
        <v>44</v>
      </c>
      <c r="G269" t="s">
        <v>23</v>
      </c>
      <c r="H269" s="3">
        <v>33722</v>
      </c>
      <c r="I269" s="3">
        <v>6062</v>
      </c>
      <c r="J269" s="3">
        <v>4602</v>
      </c>
      <c r="K269" s="3">
        <v>94</v>
      </c>
      <c r="L269" s="3">
        <v>9</v>
      </c>
      <c r="M269" s="3">
        <v>8</v>
      </c>
      <c r="N269" s="3">
        <v>15</v>
      </c>
      <c r="O269" s="3">
        <v>86</v>
      </c>
      <c r="P269" s="3"/>
      <c r="Q269" s="3">
        <v>126</v>
      </c>
      <c r="R269" s="4">
        <v>2.74</v>
      </c>
      <c r="S269" s="6">
        <f>GlowNestSocialTable[[#This Row],[Link Clicks]]/GlowNestSocialTable[[#This Row],[Reach]]</f>
        <v>1.8687527162103434E-2</v>
      </c>
    </row>
    <row r="270" spans="1:19">
      <c r="A270" t="s">
        <v>305</v>
      </c>
      <c r="B270" s="2">
        <v>45819</v>
      </c>
      <c r="C270" t="s">
        <v>36</v>
      </c>
      <c r="D270" t="s">
        <v>20</v>
      </c>
      <c r="E270" t="s">
        <v>25</v>
      </c>
      <c r="F270" t="s">
        <v>31</v>
      </c>
      <c r="G270" t="s">
        <v>23</v>
      </c>
      <c r="H270" s="3">
        <v>84769</v>
      </c>
      <c r="I270" s="3">
        <v>70168</v>
      </c>
      <c r="J270" s="3">
        <v>57915</v>
      </c>
      <c r="K270" s="3">
        <v>890</v>
      </c>
      <c r="L270" s="3">
        <v>166</v>
      </c>
      <c r="M270" s="3">
        <v>110</v>
      </c>
      <c r="N270" s="3">
        <v>131</v>
      </c>
      <c r="O270" s="3">
        <v>214</v>
      </c>
      <c r="P270" s="3">
        <v>38592</v>
      </c>
      <c r="Q270" s="3">
        <v>1297</v>
      </c>
      <c r="R270" s="4">
        <v>2.2400000000000002</v>
      </c>
      <c r="S270" s="6">
        <f>GlowNestSocialTable[[#This Row],[Link Clicks]]/GlowNestSocialTable[[#This Row],[Reach]]</f>
        <v>3.6950703617370283E-3</v>
      </c>
    </row>
    <row r="271" spans="1:19">
      <c r="A271" t="s">
        <v>306</v>
      </c>
      <c r="B271" s="2">
        <v>45820</v>
      </c>
      <c r="C271" t="s">
        <v>19</v>
      </c>
      <c r="D271" t="s">
        <v>20</v>
      </c>
      <c r="E271" t="s">
        <v>25</v>
      </c>
      <c r="F271" t="s">
        <v>44</v>
      </c>
      <c r="G271" t="s">
        <v>23</v>
      </c>
      <c r="H271" s="3">
        <v>71999</v>
      </c>
      <c r="I271" s="3">
        <v>48011</v>
      </c>
      <c r="J271" s="3">
        <v>34436</v>
      </c>
      <c r="K271" s="3">
        <v>1300</v>
      </c>
      <c r="L271" s="3">
        <v>152</v>
      </c>
      <c r="M271" s="3">
        <v>137</v>
      </c>
      <c r="N271" s="3">
        <v>188</v>
      </c>
      <c r="O271" s="3">
        <v>301</v>
      </c>
      <c r="P271" s="3">
        <v>24971</v>
      </c>
      <c r="Q271" s="3">
        <v>1777</v>
      </c>
      <c r="R271" s="4">
        <v>5.16</v>
      </c>
      <c r="S271" s="6">
        <f>GlowNestSocialTable[[#This Row],[Link Clicks]]/GlowNestSocialTable[[#This Row],[Reach]]</f>
        <v>8.7408525961203392E-3</v>
      </c>
    </row>
    <row r="272" spans="1:19">
      <c r="A272" t="s">
        <v>307</v>
      </c>
      <c r="B272" s="2">
        <v>45820</v>
      </c>
      <c r="C272" t="s">
        <v>19</v>
      </c>
      <c r="D272" t="s">
        <v>20</v>
      </c>
      <c r="E272" t="s">
        <v>27</v>
      </c>
      <c r="F272" t="s">
        <v>31</v>
      </c>
      <c r="G272" t="s">
        <v>23</v>
      </c>
      <c r="H272" s="3">
        <v>72404</v>
      </c>
      <c r="I272" s="3">
        <v>48892</v>
      </c>
      <c r="J272" s="3">
        <v>34272</v>
      </c>
      <c r="K272" s="3">
        <v>2029</v>
      </c>
      <c r="L272" s="3">
        <v>348</v>
      </c>
      <c r="M272" s="3">
        <v>264</v>
      </c>
      <c r="N272" s="3">
        <v>244</v>
      </c>
      <c r="O272" s="3">
        <v>400</v>
      </c>
      <c r="P272" s="3">
        <v>30839</v>
      </c>
      <c r="Q272" s="3">
        <v>2885</v>
      </c>
      <c r="R272" s="4">
        <v>8.42</v>
      </c>
      <c r="S272" s="6">
        <f>GlowNestSocialTable[[#This Row],[Link Clicks]]/GlowNestSocialTable[[#This Row],[Reach]]</f>
        <v>1.1671335200746966E-2</v>
      </c>
    </row>
    <row r="273" spans="1:19">
      <c r="A273" t="s">
        <v>308</v>
      </c>
      <c r="B273" s="2">
        <v>45821</v>
      </c>
      <c r="C273" t="s">
        <v>33</v>
      </c>
      <c r="D273" t="s">
        <v>34</v>
      </c>
      <c r="E273" t="s">
        <v>25</v>
      </c>
      <c r="F273" t="s">
        <v>42</v>
      </c>
      <c r="G273" t="s">
        <v>38</v>
      </c>
      <c r="H273" s="3">
        <v>33033</v>
      </c>
      <c r="I273" s="3">
        <v>17175</v>
      </c>
      <c r="J273" s="3">
        <v>12522</v>
      </c>
      <c r="K273" s="3">
        <v>148</v>
      </c>
      <c r="L273" s="3">
        <v>21</v>
      </c>
      <c r="M273" s="3">
        <v>15</v>
      </c>
      <c r="N273" s="3">
        <v>14</v>
      </c>
      <c r="O273" s="3">
        <v>171</v>
      </c>
      <c r="P273" s="3"/>
      <c r="Q273" s="3">
        <v>198</v>
      </c>
      <c r="R273" s="4">
        <v>1.58</v>
      </c>
      <c r="S273" s="6">
        <f>GlowNestSocialTable[[#This Row],[Link Clicks]]/GlowNestSocialTable[[#This Row],[Reach]]</f>
        <v>1.3655965500718735E-2</v>
      </c>
    </row>
    <row r="274" spans="1:19">
      <c r="A274" t="s">
        <v>309</v>
      </c>
      <c r="B274" s="2">
        <v>45822</v>
      </c>
      <c r="C274" t="s">
        <v>19</v>
      </c>
      <c r="D274" t="s">
        <v>30</v>
      </c>
      <c r="E274" t="s">
        <v>49</v>
      </c>
      <c r="F274" t="s">
        <v>31</v>
      </c>
      <c r="G274" t="s">
        <v>23</v>
      </c>
      <c r="H274" s="3">
        <v>72430</v>
      </c>
      <c r="I274" s="3">
        <v>25156</v>
      </c>
      <c r="J274" s="3">
        <v>19092</v>
      </c>
      <c r="K274" s="3">
        <v>565</v>
      </c>
      <c r="L274" s="3">
        <v>95</v>
      </c>
      <c r="M274" s="3">
        <v>68</v>
      </c>
      <c r="N274" s="3">
        <v>46</v>
      </c>
      <c r="O274" s="3">
        <v>184</v>
      </c>
      <c r="P274" s="3"/>
      <c r="Q274" s="3">
        <v>774</v>
      </c>
      <c r="R274" s="4">
        <v>4.05</v>
      </c>
      <c r="S274" s="6">
        <f>GlowNestSocialTable[[#This Row],[Link Clicks]]/GlowNestSocialTable[[#This Row],[Reach]]</f>
        <v>9.6375445212654523E-3</v>
      </c>
    </row>
    <row r="275" spans="1:19">
      <c r="A275" t="s">
        <v>310</v>
      </c>
      <c r="B275" s="2">
        <v>45822</v>
      </c>
      <c r="C275" t="s">
        <v>33</v>
      </c>
      <c r="D275" t="s">
        <v>30</v>
      </c>
      <c r="E275" t="s">
        <v>27</v>
      </c>
      <c r="F275" t="s">
        <v>28</v>
      </c>
      <c r="G275" t="s">
        <v>23</v>
      </c>
      <c r="H275" s="3">
        <v>32444</v>
      </c>
      <c r="I275" s="3">
        <v>11877</v>
      </c>
      <c r="J275" s="3">
        <v>7833</v>
      </c>
      <c r="K275" s="3">
        <v>200</v>
      </c>
      <c r="L275" s="3">
        <v>31</v>
      </c>
      <c r="M275" s="3">
        <v>21</v>
      </c>
      <c r="N275" s="3">
        <v>15</v>
      </c>
      <c r="O275" s="3">
        <v>82</v>
      </c>
      <c r="P275" s="3"/>
      <c r="Q275" s="3">
        <v>267</v>
      </c>
      <c r="R275" s="4">
        <v>3.41</v>
      </c>
      <c r="S275" s="6">
        <f>GlowNestSocialTable[[#This Row],[Link Clicks]]/GlowNestSocialTable[[#This Row],[Reach]]</f>
        <v>1.0468530575769183E-2</v>
      </c>
    </row>
    <row r="276" spans="1:19">
      <c r="A276" t="s">
        <v>311</v>
      </c>
      <c r="B276" s="2">
        <v>45823</v>
      </c>
      <c r="C276" t="s">
        <v>36</v>
      </c>
      <c r="D276" t="s">
        <v>30</v>
      </c>
      <c r="E276" t="s">
        <v>25</v>
      </c>
      <c r="F276" t="s">
        <v>31</v>
      </c>
      <c r="G276" t="s">
        <v>23</v>
      </c>
      <c r="H276" s="3">
        <v>84669</v>
      </c>
      <c r="I276" s="3">
        <v>49196</v>
      </c>
      <c r="J276" s="3">
        <v>42198</v>
      </c>
      <c r="K276" s="3">
        <v>315</v>
      </c>
      <c r="L276" s="3">
        <v>53</v>
      </c>
      <c r="M276" s="3">
        <v>55</v>
      </c>
      <c r="N276" s="3">
        <v>38</v>
      </c>
      <c r="O276" s="3">
        <v>109</v>
      </c>
      <c r="P276" s="3"/>
      <c r="Q276" s="3">
        <v>461</v>
      </c>
      <c r="R276" s="4">
        <v>1.0900000000000001</v>
      </c>
      <c r="S276" s="6">
        <f>GlowNestSocialTable[[#This Row],[Link Clicks]]/GlowNestSocialTable[[#This Row],[Reach]]</f>
        <v>2.5830608085691265E-3</v>
      </c>
    </row>
    <row r="277" spans="1:19">
      <c r="A277" t="s">
        <v>312</v>
      </c>
      <c r="B277" s="2">
        <v>45823</v>
      </c>
      <c r="C277" t="s">
        <v>19</v>
      </c>
      <c r="D277" t="s">
        <v>20</v>
      </c>
      <c r="E277" t="s">
        <v>27</v>
      </c>
      <c r="F277" t="s">
        <v>44</v>
      </c>
      <c r="G277" t="s">
        <v>23</v>
      </c>
      <c r="H277" s="3">
        <v>71148</v>
      </c>
      <c r="I277" s="3">
        <v>47369</v>
      </c>
      <c r="J277" s="3">
        <v>36896</v>
      </c>
      <c r="K277" s="3">
        <v>2522</v>
      </c>
      <c r="L277" s="3">
        <v>396</v>
      </c>
      <c r="M277" s="3">
        <v>345</v>
      </c>
      <c r="N277" s="3">
        <v>242</v>
      </c>
      <c r="O277" s="3">
        <v>605</v>
      </c>
      <c r="P277" s="3">
        <v>29116</v>
      </c>
      <c r="Q277" s="3">
        <v>3505</v>
      </c>
      <c r="R277" s="4">
        <v>9.5</v>
      </c>
      <c r="S277" s="6">
        <f>GlowNestSocialTable[[#This Row],[Link Clicks]]/GlowNestSocialTable[[#This Row],[Reach]]</f>
        <v>1.6397441457068517E-2</v>
      </c>
    </row>
    <row r="278" spans="1:19">
      <c r="A278" t="s">
        <v>313</v>
      </c>
      <c r="B278" s="2">
        <v>45824</v>
      </c>
      <c r="C278" t="s">
        <v>36</v>
      </c>
      <c r="D278" t="s">
        <v>34</v>
      </c>
      <c r="E278" t="s">
        <v>27</v>
      </c>
      <c r="F278" t="s">
        <v>44</v>
      </c>
      <c r="G278" t="s">
        <v>23</v>
      </c>
      <c r="H278" s="3">
        <v>86059</v>
      </c>
      <c r="I278" s="3">
        <v>45489</v>
      </c>
      <c r="J278" s="3">
        <v>37848</v>
      </c>
      <c r="K278" s="3">
        <v>672</v>
      </c>
      <c r="L278" s="3">
        <v>100</v>
      </c>
      <c r="M278" s="3">
        <v>89</v>
      </c>
      <c r="N278" s="3">
        <v>41</v>
      </c>
      <c r="O278" s="3">
        <v>313</v>
      </c>
      <c r="P278" s="3"/>
      <c r="Q278" s="3">
        <v>902</v>
      </c>
      <c r="R278" s="4">
        <v>2.38</v>
      </c>
      <c r="S278" s="6">
        <f>GlowNestSocialTable[[#This Row],[Link Clicks]]/GlowNestSocialTable[[#This Row],[Reach]]</f>
        <v>8.2699217924328897E-3</v>
      </c>
    </row>
    <row r="279" spans="1:19">
      <c r="A279" t="s">
        <v>314</v>
      </c>
      <c r="B279" s="2">
        <v>45825</v>
      </c>
      <c r="C279" t="s">
        <v>19</v>
      </c>
      <c r="D279" t="s">
        <v>37</v>
      </c>
      <c r="E279" t="s">
        <v>21</v>
      </c>
      <c r="F279" t="s">
        <v>42</v>
      </c>
      <c r="G279" t="s">
        <v>23</v>
      </c>
      <c r="H279" s="3">
        <v>70641</v>
      </c>
      <c r="I279" s="3">
        <v>29691</v>
      </c>
      <c r="J279" s="3">
        <v>24145</v>
      </c>
      <c r="K279" s="3">
        <v>896</v>
      </c>
      <c r="L279" s="3">
        <v>152</v>
      </c>
      <c r="M279" s="3">
        <v>74</v>
      </c>
      <c r="N279" s="3">
        <v>73</v>
      </c>
      <c r="O279" s="3">
        <v>264</v>
      </c>
      <c r="P279" s="3"/>
      <c r="Q279" s="3">
        <v>1195</v>
      </c>
      <c r="R279" s="4">
        <v>4.95</v>
      </c>
      <c r="S279" s="6">
        <f>GlowNestSocialTable[[#This Row],[Link Clicks]]/GlowNestSocialTable[[#This Row],[Reach]]</f>
        <v>1.0933940774487472E-2</v>
      </c>
    </row>
    <row r="280" spans="1:19">
      <c r="A280" t="s">
        <v>315</v>
      </c>
      <c r="B280" s="2">
        <v>45825</v>
      </c>
      <c r="C280" t="s">
        <v>193</v>
      </c>
      <c r="D280" t="s">
        <v>20</v>
      </c>
      <c r="E280" t="s">
        <v>25</v>
      </c>
      <c r="F280" t="s">
        <v>44</v>
      </c>
      <c r="G280" t="s">
        <v>23</v>
      </c>
      <c r="H280" s="3">
        <v>71965</v>
      </c>
      <c r="I280" s="3">
        <v>32772</v>
      </c>
      <c r="J280" s="3">
        <v>27146</v>
      </c>
      <c r="K280" s="3">
        <v>771</v>
      </c>
      <c r="L280" s="3">
        <v>112</v>
      </c>
      <c r="M280" s="3">
        <v>127</v>
      </c>
      <c r="N280" s="3">
        <v>79</v>
      </c>
      <c r="O280" s="3">
        <v>287</v>
      </c>
      <c r="P280" s="3">
        <v>18817</v>
      </c>
      <c r="Q280" s="3">
        <v>1089</v>
      </c>
      <c r="R280" s="4">
        <v>4.01</v>
      </c>
      <c r="S280" s="6">
        <f>GlowNestSocialTable[[#This Row],[Link Clicks]]/GlowNestSocialTable[[#This Row],[Reach]]</f>
        <v>1.0572460030943786E-2</v>
      </c>
    </row>
    <row r="281" spans="1:19">
      <c r="A281" t="s">
        <v>316</v>
      </c>
      <c r="B281" s="2">
        <v>45826</v>
      </c>
      <c r="C281" t="s">
        <v>19</v>
      </c>
      <c r="D281" t="s">
        <v>37</v>
      </c>
      <c r="E281" t="s">
        <v>21</v>
      </c>
      <c r="F281" t="s">
        <v>22</v>
      </c>
      <c r="G281" t="s">
        <v>23</v>
      </c>
      <c r="H281" s="3">
        <v>73459</v>
      </c>
      <c r="I281" s="3">
        <v>36252</v>
      </c>
      <c r="J281" s="3">
        <v>27770</v>
      </c>
      <c r="K281" s="3">
        <v>935</v>
      </c>
      <c r="L281" s="3">
        <v>175</v>
      </c>
      <c r="M281" s="3">
        <v>147</v>
      </c>
      <c r="N281" s="3">
        <v>265</v>
      </c>
      <c r="O281" s="3">
        <v>337</v>
      </c>
      <c r="P281" s="3"/>
      <c r="Q281" s="3">
        <v>1522</v>
      </c>
      <c r="R281" s="4">
        <v>5.48</v>
      </c>
      <c r="S281" s="6">
        <f>GlowNestSocialTable[[#This Row],[Link Clicks]]/GlowNestSocialTable[[#This Row],[Reach]]</f>
        <v>1.2135397911415196E-2</v>
      </c>
    </row>
    <row r="282" spans="1:19">
      <c r="A282" t="s">
        <v>317</v>
      </c>
      <c r="B282" s="2">
        <v>45826</v>
      </c>
      <c r="C282" t="s">
        <v>33</v>
      </c>
      <c r="D282" t="s">
        <v>34</v>
      </c>
      <c r="E282" t="s">
        <v>27</v>
      </c>
      <c r="F282" t="s">
        <v>31</v>
      </c>
      <c r="G282" t="s">
        <v>23</v>
      </c>
      <c r="H282" s="3">
        <v>34683</v>
      </c>
      <c r="I282" s="3">
        <v>10391</v>
      </c>
      <c r="J282" s="3">
        <v>8805</v>
      </c>
      <c r="K282" s="3">
        <v>259</v>
      </c>
      <c r="L282" s="3">
        <v>27</v>
      </c>
      <c r="M282" s="3">
        <v>22</v>
      </c>
      <c r="N282" s="3">
        <v>34</v>
      </c>
      <c r="O282" s="3">
        <v>162</v>
      </c>
      <c r="P282" s="3"/>
      <c r="Q282" s="3">
        <v>342</v>
      </c>
      <c r="R282" s="4">
        <v>3.88</v>
      </c>
      <c r="S282" s="6">
        <f>GlowNestSocialTable[[#This Row],[Link Clicks]]/GlowNestSocialTable[[#This Row],[Reach]]</f>
        <v>1.8398637137989778E-2</v>
      </c>
    </row>
    <row r="283" spans="1:19">
      <c r="A283" t="s">
        <v>318</v>
      </c>
      <c r="B283" s="2">
        <v>45827</v>
      </c>
      <c r="C283" t="s">
        <v>33</v>
      </c>
      <c r="D283" t="s">
        <v>30</v>
      </c>
      <c r="E283" t="s">
        <v>46</v>
      </c>
      <c r="F283" t="s">
        <v>42</v>
      </c>
      <c r="G283" t="s">
        <v>38</v>
      </c>
      <c r="H283" s="3">
        <v>34502</v>
      </c>
      <c r="I283" s="3">
        <v>13222</v>
      </c>
      <c r="J283" s="3">
        <v>11594</v>
      </c>
      <c r="K283" s="3">
        <v>266</v>
      </c>
      <c r="L283" s="3">
        <v>42</v>
      </c>
      <c r="M283" s="3">
        <v>37</v>
      </c>
      <c r="N283" s="3">
        <v>49</v>
      </c>
      <c r="O283" s="3">
        <v>117</v>
      </c>
      <c r="P283" s="3"/>
      <c r="Q283" s="3">
        <v>394</v>
      </c>
      <c r="R283" s="4">
        <v>3.4</v>
      </c>
      <c r="S283" s="6">
        <f>GlowNestSocialTable[[#This Row],[Link Clicks]]/GlowNestSocialTable[[#This Row],[Reach]]</f>
        <v>1.00914265999655E-2</v>
      </c>
    </row>
    <row r="284" spans="1:19">
      <c r="A284" t="s">
        <v>319</v>
      </c>
      <c r="B284" s="2">
        <v>45828</v>
      </c>
      <c r="C284" t="s">
        <v>36</v>
      </c>
      <c r="D284" t="s">
        <v>34</v>
      </c>
      <c r="E284" t="s">
        <v>27</v>
      </c>
      <c r="F284" t="s">
        <v>28</v>
      </c>
      <c r="G284" t="s">
        <v>23</v>
      </c>
      <c r="H284" s="3">
        <v>89182</v>
      </c>
      <c r="I284" s="3">
        <v>60710</v>
      </c>
      <c r="J284" s="3">
        <v>41309</v>
      </c>
      <c r="K284" s="3">
        <v>764</v>
      </c>
      <c r="L284" s="3">
        <v>85</v>
      </c>
      <c r="M284" s="3">
        <v>82</v>
      </c>
      <c r="N284" s="3">
        <v>102</v>
      </c>
      <c r="O284" s="3">
        <v>290</v>
      </c>
      <c r="P284" s="3"/>
      <c r="Q284" s="3">
        <v>1033</v>
      </c>
      <c r="R284" s="4">
        <v>2.5</v>
      </c>
      <c r="S284" s="6">
        <f>GlowNestSocialTable[[#This Row],[Link Clicks]]/GlowNestSocialTable[[#This Row],[Reach]]</f>
        <v>7.0202619283933282E-3</v>
      </c>
    </row>
    <row r="285" spans="1:19">
      <c r="A285" t="s">
        <v>320</v>
      </c>
      <c r="B285" s="2">
        <v>45828</v>
      </c>
      <c r="C285" t="s">
        <v>19</v>
      </c>
      <c r="D285" t="s">
        <v>20</v>
      </c>
      <c r="E285" t="s">
        <v>46</v>
      </c>
      <c r="F285" t="s">
        <v>44</v>
      </c>
      <c r="G285" t="s">
        <v>23</v>
      </c>
      <c r="H285" s="3">
        <v>71210</v>
      </c>
      <c r="I285" s="3">
        <v>32801</v>
      </c>
      <c r="J285" s="3">
        <v>25010</v>
      </c>
      <c r="K285" s="3">
        <v>1057</v>
      </c>
      <c r="L285" s="3">
        <v>143</v>
      </c>
      <c r="M285" s="3">
        <v>113</v>
      </c>
      <c r="N285" s="3">
        <v>157</v>
      </c>
      <c r="O285" s="3">
        <v>329</v>
      </c>
      <c r="P285" s="3">
        <v>18807</v>
      </c>
      <c r="Q285" s="3">
        <v>1470</v>
      </c>
      <c r="R285" s="4">
        <v>5.88</v>
      </c>
      <c r="S285" s="6">
        <f>GlowNestSocialTable[[#This Row],[Link Clicks]]/GlowNestSocialTable[[#This Row],[Reach]]</f>
        <v>1.3154738104758097E-2</v>
      </c>
    </row>
    <row r="286" spans="1:19">
      <c r="A286" t="s">
        <v>321</v>
      </c>
      <c r="B286" s="2">
        <v>45829</v>
      </c>
      <c r="C286" t="s">
        <v>36</v>
      </c>
      <c r="D286" t="s">
        <v>37</v>
      </c>
      <c r="E286" t="s">
        <v>46</v>
      </c>
      <c r="F286" t="s">
        <v>22</v>
      </c>
      <c r="G286" t="s">
        <v>23</v>
      </c>
      <c r="H286" s="3">
        <v>85552</v>
      </c>
      <c r="I286" s="3">
        <v>49671</v>
      </c>
      <c r="J286" s="3">
        <v>33733</v>
      </c>
      <c r="K286" s="3">
        <v>624</v>
      </c>
      <c r="L286" s="3">
        <v>114</v>
      </c>
      <c r="M286" s="3">
        <v>56</v>
      </c>
      <c r="N286" s="3">
        <v>100</v>
      </c>
      <c r="O286" s="3">
        <v>188</v>
      </c>
      <c r="P286" s="3"/>
      <c r="Q286" s="3">
        <v>894</v>
      </c>
      <c r="R286" s="4">
        <v>2.65</v>
      </c>
      <c r="S286" s="6">
        <f>GlowNestSocialTable[[#This Row],[Link Clicks]]/GlowNestSocialTable[[#This Row],[Reach]]</f>
        <v>5.5731776005691755E-3</v>
      </c>
    </row>
    <row r="287" spans="1:19">
      <c r="A287" t="s">
        <v>322</v>
      </c>
      <c r="B287" s="2">
        <v>45829</v>
      </c>
      <c r="C287" t="s">
        <v>33</v>
      </c>
      <c r="D287" t="s">
        <v>34</v>
      </c>
      <c r="E287" t="s">
        <v>49</v>
      </c>
      <c r="F287" t="s">
        <v>44</v>
      </c>
      <c r="G287" t="s">
        <v>23</v>
      </c>
      <c r="H287" s="3">
        <v>33128</v>
      </c>
      <c r="I287" s="3">
        <v>9616</v>
      </c>
      <c r="J287" s="3">
        <v>7228</v>
      </c>
      <c r="K287" s="3">
        <v>160</v>
      </c>
      <c r="L287" s="3">
        <v>17</v>
      </c>
      <c r="M287" s="3">
        <v>14</v>
      </c>
      <c r="N287" s="3">
        <v>14</v>
      </c>
      <c r="O287" s="3">
        <v>82</v>
      </c>
      <c r="P287" s="3"/>
      <c r="Q287" s="3">
        <v>205</v>
      </c>
      <c r="R287" s="4">
        <v>2.84</v>
      </c>
      <c r="S287" s="6">
        <f>GlowNestSocialTable[[#This Row],[Link Clicks]]/GlowNestSocialTable[[#This Row],[Reach]]</f>
        <v>1.1344770337576093E-2</v>
      </c>
    </row>
    <row r="288" spans="1:19">
      <c r="A288" t="s">
        <v>323</v>
      </c>
      <c r="B288" s="2">
        <v>45830</v>
      </c>
      <c r="C288" t="s">
        <v>19</v>
      </c>
      <c r="D288" t="s">
        <v>30</v>
      </c>
      <c r="E288" t="s">
        <v>27</v>
      </c>
      <c r="F288" t="s">
        <v>22</v>
      </c>
      <c r="G288" t="s">
        <v>23</v>
      </c>
      <c r="H288" s="3">
        <v>71823</v>
      </c>
      <c r="I288" s="3">
        <v>27218</v>
      </c>
      <c r="J288" s="3">
        <v>22345</v>
      </c>
      <c r="K288" s="3">
        <v>682</v>
      </c>
      <c r="L288" s="3">
        <v>88</v>
      </c>
      <c r="M288" s="3">
        <v>114</v>
      </c>
      <c r="N288" s="3">
        <v>169</v>
      </c>
      <c r="O288" s="3">
        <v>211</v>
      </c>
      <c r="P288" s="3"/>
      <c r="Q288" s="3">
        <v>1053</v>
      </c>
      <c r="R288" s="4">
        <v>4.71</v>
      </c>
      <c r="S288" s="6">
        <f>GlowNestSocialTable[[#This Row],[Link Clicks]]/GlowNestSocialTable[[#This Row],[Reach]]</f>
        <v>9.4428283732378611E-3</v>
      </c>
    </row>
    <row r="289" spans="1:19">
      <c r="A289" t="s">
        <v>324</v>
      </c>
      <c r="B289" s="2">
        <v>45831</v>
      </c>
      <c r="C289" t="s">
        <v>33</v>
      </c>
      <c r="D289" t="s">
        <v>34</v>
      </c>
      <c r="E289" t="s">
        <v>46</v>
      </c>
      <c r="F289" t="s">
        <v>31</v>
      </c>
      <c r="G289" t="s">
        <v>23</v>
      </c>
      <c r="H289" s="3">
        <v>34497</v>
      </c>
      <c r="I289" s="3">
        <v>8313</v>
      </c>
      <c r="J289" s="3">
        <v>6426</v>
      </c>
      <c r="K289" s="3">
        <v>139</v>
      </c>
      <c r="L289" s="3">
        <v>20</v>
      </c>
      <c r="M289" s="3">
        <v>20</v>
      </c>
      <c r="N289" s="3">
        <v>19</v>
      </c>
      <c r="O289" s="3">
        <v>103</v>
      </c>
      <c r="P289" s="3"/>
      <c r="Q289" s="3">
        <v>198</v>
      </c>
      <c r="R289" s="4">
        <v>3.08</v>
      </c>
      <c r="S289" s="6">
        <f>GlowNestSocialTable[[#This Row],[Link Clicks]]/GlowNestSocialTable[[#This Row],[Reach]]</f>
        <v>1.6028633675692499E-2</v>
      </c>
    </row>
    <row r="290" spans="1:19">
      <c r="A290" t="s">
        <v>325</v>
      </c>
      <c r="B290" s="2">
        <v>45831</v>
      </c>
      <c r="C290" t="s">
        <v>36</v>
      </c>
      <c r="D290" t="s">
        <v>20</v>
      </c>
      <c r="E290" t="s">
        <v>27</v>
      </c>
      <c r="F290" t="s">
        <v>28</v>
      </c>
      <c r="G290" t="s">
        <v>23</v>
      </c>
      <c r="H290" s="3">
        <v>86222</v>
      </c>
      <c r="I290" s="3">
        <v>53967</v>
      </c>
      <c r="J290" s="3">
        <v>41482</v>
      </c>
      <c r="K290" s="3">
        <v>1114</v>
      </c>
      <c r="L290" s="3">
        <v>158</v>
      </c>
      <c r="M290" s="3">
        <v>101</v>
      </c>
      <c r="N290" s="3">
        <v>229</v>
      </c>
      <c r="O290" s="3">
        <v>200</v>
      </c>
      <c r="P290" s="3">
        <v>28870</v>
      </c>
      <c r="Q290" s="3">
        <v>1602</v>
      </c>
      <c r="R290" s="4">
        <v>3.86</v>
      </c>
      <c r="S290" s="6">
        <f>GlowNestSocialTable[[#This Row],[Link Clicks]]/GlowNestSocialTable[[#This Row],[Reach]]</f>
        <v>4.8213683043247671E-3</v>
      </c>
    </row>
    <row r="291" spans="1:19">
      <c r="A291" t="s">
        <v>326</v>
      </c>
      <c r="B291" s="2">
        <v>45832</v>
      </c>
      <c r="C291" t="s">
        <v>36</v>
      </c>
      <c r="D291" t="s">
        <v>30</v>
      </c>
      <c r="E291" t="s">
        <v>27</v>
      </c>
      <c r="F291" t="s">
        <v>28</v>
      </c>
      <c r="G291" t="s">
        <v>23</v>
      </c>
      <c r="H291" s="3">
        <v>87431</v>
      </c>
      <c r="I291" s="3">
        <v>43076</v>
      </c>
      <c r="J291" s="3">
        <v>32073</v>
      </c>
      <c r="K291" s="3">
        <v>549</v>
      </c>
      <c r="L291" s="3">
        <v>100</v>
      </c>
      <c r="M291" s="3">
        <v>53</v>
      </c>
      <c r="N291" s="3">
        <v>111</v>
      </c>
      <c r="O291" s="3">
        <v>134</v>
      </c>
      <c r="P291" s="3"/>
      <c r="Q291" s="3">
        <v>813</v>
      </c>
      <c r="R291" s="4">
        <v>2.5299999999999998</v>
      </c>
      <c r="S291" s="6">
        <f>GlowNestSocialTable[[#This Row],[Link Clicks]]/GlowNestSocialTable[[#This Row],[Reach]]</f>
        <v>4.1779690082000441E-3</v>
      </c>
    </row>
    <row r="292" spans="1:19">
      <c r="A292" t="s">
        <v>327</v>
      </c>
      <c r="B292" s="2">
        <v>45833</v>
      </c>
      <c r="C292" t="s">
        <v>33</v>
      </c>
      <c r="D292" t="s">
        <v>34</v>
      </c>
      <c r="E292" t="s">
        <v>25</v>
      </c>
      <c r="F292" t="s">
        <v>22</v>
      </c>
      <c r="G292" t="s">
        <v>23</v>
      </c>
      <c r="H292" s="3">
        <v>33522</v>
      </c>
      <c r="I292" s="3">
        <v>10307</v>
      </c>
      <c r="J292" s="3">
        <v>8121</v>
      </c>
      <c r="K292" s="3">
        <v>121</v>
      </c>
      <c r="L292" s="3">
        <v>13</v>
      </c>
      <c r="M292" s="3">
        <v>11</v>
      </c>
      <c r="N292" s="3">
        <v>10</v>
      </c>
      <c r="O292" s="3">
        <v>81</v>
      </c>
      <c r="P292" s="3"/>
      <c r="Q292" s="3">
        <v>155</v>
      </c>
      <c r="R292" s="4">
        <v>1.91</v>
      </c>
      <c r="S292" s="6">
        <f>GlowNestSocialTable[[#This Row],[Link Clicks]]/GlowNestSocialTable[[#This Row],[Reach]]</f>
        <v>9.9741411156261551E-3</v>
      </c>
    </row>
    <row r="293" spans="1:19">
      <c r="A293" t="s">
        <v>328</v>
      </c>
      <c r="B293" s="2">
        <v>45833</v>
      </c>
      <c r="C293" t="s">
        <v>19</v>
      </c>
      <c r="D293" t="s">
        <v>30</v>
      </c>
      <c r="E293" t="s">
        <v>25</v>
      </c>
      <c r="F293" t="s">
        <v>42</v>
      </c>
      <c r="G293" t="s">
        <v>23</v>
      </c>
      <c r="H293" s="3">
        <v>71222</v>
      </c>
      <c r="I293" s="3">
        <v>19985</v>
      </c>
      <c r="J293" s="3">
        <v>17680</v>
      </c>
      <c r="K293" s="3">
        <v>335</v>
      </c>
      <c r="L293" s="3">
        <v>40</v>
      </c>
      <c r="M293" s="3">
        <v>47</v>
      </c>
      <c r="N293" s="3">
        <v>21</v>
      </c>
      <c r="O293" s="3">
        <v>143</v>
      </c>
      <c r="P293" s="3"/>
      <c r="Q293" s="3">
        <v>443</v>
      </c>
      <c r="R293" s="4">
        <v>2.5099999999999998</v>
      </c>
      <c r="S293" s="6">
        <f>GlowNestSocialTable[[#This Row],[Link Clicks]]/GlowNestSocialTable[[#This Row],[Reach]]</f>
        <v>8.0882352941176478E-3</v>
      </c>
    </row>
    <row r="294" spans="1:19">
      <c r="A294" t="s">
        <v>329</v>
      </c>
      <c r="B294" s="2">
        <v>45834</v>
      </c>
      <c r="C294" t="s">
        <v>19</v>
      </c>
      <c r="D294" t="s">
        <v>34</v>
      </c>
      <c r="E294" t="s">
        <v>46</v>
      </c>
      <c r="F294" t="s">
        <v>44</v>
      </c>
      <c r="G294" t="s">
        <v>38</v>
      </c>
      <c r="H294" s="3">
        <v>72977</v>
      </c>
      <c r="I294" s="3">
        <v>32551</v>
      </c>
      <c r="J294" s="3">
        <v>27216</v>
      </c>
      <c r="K294" s="3">
        <v>911</v>
      </c>
      <c r="L294" s="3">
        <v>99</v>
      </c>
      <c r="M294" s="3">
        <v>99</v>
      </c>
      <c r="N294" s="3">
        <v>70</v>
      </c>
      <c r="O294" s="3">
        <v>464</v>
      </c>
      <c r="P294" s="3"/>
      <c r="Q294" s="3">
        <v>1179</v>
      </c>
      <c r="R294" s="4">
        <v>4.33</v>
      </c>
      <c r="S294" s="6">
        <f>GlowNestSocialTable[[#This Row],[Link Clicks]]/GlowNestSocialTable[[#This Row],[Reach]]</f>
        <v>1.7048794826572605E-2</v>
      </c>
    </row>
    <row r="295" spans="1:19">
      <c r="A295" t="s">
        <v>330</v>
      </c>
      <c r="B295" s="2">
        <v>45834</v>
      </c>
      <c r="C295" t="s">
        <v>36</v>
      </c>
      <c r="D295" t="s">
        <v>34</v>
      </c>
      <c r="E295" t="s">
        <v>25</v>
      </c>
      <c r="F295" t="s">
        <v>42</v>
      </c>
      <c r="G295" t="s">
        <v>23</v>
      </c>
      <c r="H295" s="3">
        <v>86281</v>
      </c>
      <c r="I295" s="3">
        <v>41945</v>
      </c>
      <c r="J295" s="3">
        <v>35009</v>
      </c>
      <c r="K295" s="3">
        <v>291</v>
      </c>
      <c r="L295" s="3">
        <v>48</v>
      </c>
      <c r="M295" s="3">
        <v>38</v>
      </c>
      <c r="N295" s="3">
        <v>9</v>
      </c>
      <c r="O295" s="3">
        <v>120</v>
      </c>
      <c r="P295" s="3"/>
      <c r="Q295" s="3">
        <v>386</v>
      </c>
      <c r="R295" s="4">
        <v>1.1000000000000001</v>
      </c>
      <c r="S295" s="6">
        <f>GlowNestSocialTable[[#This Row],[Link Clicks]]/GlowNestSocialTable[[#This Row],[Reach]]</f>
        <v>3.4276900225656262E-3</v>
      </c>
    </row>
    <row r="296" spans="1:19">
      <c r="A296" t="s">
        <v>331</v>
      </c>
      <c r="B296" s="2">
        <v>45835</v>
      </c>
      <c r="C296" t="s">
        <v>36</v>
      </c>
      <c r="D296" t="s">
        <v>34</v>
      </c>
      <c r="E296" t="s">
        <v>46</v>
      </c>
      <c r="F296" t="s">
        <v>42</v>
      </c>
      <c r="G296" t="s">
        <v>23</v>
      </c>
      <c r="H296" s="3">
        <v>88016</v>
      </c>
      <c r="I296" s="3">
        <v>33496</v>
      </c>
      <c r="J296" s="3">
        <v>28080</v>
      </c>
      <c r="K296" s="3">
        <v>285</v>
      </c>
      <c r="L296" s="3">
        <v>50</v>
      </c>
      <c r="M296" s="3">
        <v>45</v>
      </c>
      <c r="N296" s="3">
        <v>7</v>
      </c>
      <c r="O296" s="3">
        <v>163</v>
      </c>
      <c r="P296" s="3"/>
      <c r="Q296" s="3">
        <v>387</v>
      </c>
      <c r="R296" s="4">
        <v>1.38</v>
      </c>
      <c r="S296" s="6">
        <f>GlowNestSocialTable[[#This Row],[Link Clicks]]/GlowNestSocialTable[[#This Row],[Reach]]</f>
        <v>5.8048433048433047E-3</v>
      </c>
    </row>
    <row r="297" spans="1:19">
      <c r="A297" t="s">
        <v>332</v>
      </c>
      <c r="B297" s="2">
        <v>45836</v>
      </c>
      <c r="C297" t="s">
        <v>19</v>
      </c>
      <c r="D297" t="s">
        <v>37</v>
      </c>
      <c r="E297" t="s">
        <v>25</v>
      </c>
      <c r="F297" t="s">
        <v>28</v>
      </c>
      <c r="G297" t="s">
        <v>23</v>
      </c>
      <c r="H297" s="3">
        <v>73915</v>
      </c>
      <c r="I297" s="3">
        <v>32021</v>
      </c>
      <c r="J297" s="3">
        <v>22641</v>
      </c>
      <c r="K297" s="3">
        <v>634</v>
      </c>
      <c r="L297" s="3">
        <v>74</v>
      </c>
      <c r="M297" s="3">
        <v>69</v>
      </c>
      <c r="N297" s="3">
        <v>52</v>
      </c>
      <c r="O297" s="3">
        <v>175</v>
      </c>
      <c r="P297" s="3"/>
      <c r="Q297" s="3">
        <v>829</v>
      </c>
      <c r="R297" s="4">
        <v>3.66</v>
      </c>
      <c r="S297" s="6">
        <f>GlowNestSocialTable[[#This Row],[Link Clicks]]/GlowNestSocialTable[[#This Row],[Reach]]</f>
        <v>7.7293405768296452E-3</v>
      </c>
    </row>
    <row r="298" spans="1:19">
      <c r="A298" t="s">
        <v>333</v>
      </c>
      <c r="B298" s="2">
        <v>45836</v>
      </c>
      <c r="C298" t="s">
        <v>19</v>
      </c>
      <c r="D298" t="s">
        <v>20</v>
      </c>
      <c r="E298" t="s">
        <v>21</v>
      </c>
      <c r="F298" t="s">
        <v>44</v>
      </c>
      <c r="G298" t="s">
        <v>23</v>
      </c>
      <c r="H298" s="3">
        <v>69224</v>
      </c>
      <c r="I298" s="3">
        <v>39257</v>
      </c>
      <c r="J298" s="3">
        <v>26027</v>
      </c>
      <c r="K298" s="3">
        <v>1151</v>
      </c>
      <c r="L298" s="3">
        <v>199</v>
      </c>
      <c r="M298" s="3">
        <v>157</v>
      </c>
      <c r="N298" s="3">
        <v>187</v>
      </c>
      <c r="O298" s="3">
        <v>275</v>
      </c>
      <c r="P298" s="3">
        <v>14838</v>
      </c>
      <c r="Q298" s="3">
        <v>1694</v>
      </c>
      <c r="R298" s="4">
        <v>6.51</v>
      </c>
      <c r="S298" s="6">
        <f>GlowNestSocialTable[[#This Row],[Link Clicks]]/GlowNestSocialTable[[#This Row],[Reach]]</f>
        <v>1.0565950743458716E-2</v>
      </c>
    </row>
    <row r="299" spans="1:19">
      <c r="A299" t="s">
        <v>334</v>
      </c>
      <c r="B299" s="2">
        <v>45837</v>
      </c>
      <c r="C299" t="s">
        <v>19</v>
      </c>
      <c r="D299" t="s">
        <v>30</v>
      </c>
      <c r="E299" t="s">
        <v>46</v>
      </c>
      <c r="F299" t="s">
        <v>44</v>
      </c>
      <c r="G299" t="s">
        <v>23</v>
      </c>
      <c r="H299" s="3">
        <v>73473</v>
      </c>
      <c r="I299" s="3">
        <v>27220</v>
      </c>
      <c r="J299" s="3">
        <v>25030</v>
      </c>
      <c r="K299" s="3">
        <v>837</v>
      </c>
      <c r="L299" s="3">
        <v>120</v>
      </c>
      <c r="M299" s="3">
        <v>104</v>
      </c>
      <c r="N299" s="3">
        <v>204</v>
      </c>
      <c r="O299" s="3">
        <v>249</v>
      </c>
      <c r="P299" s="3"/>
      <c r="Q299" s="3">
        <v>1265</v>
      </c>
      <c r="R299" s="4">
        <v>5.05</v>
      </c>
      <c r="S299" s="6">
        <f>GlowNestSocialTable[[#This Row],[Link Clicks]]/GlowNestSocialTable[[#This Row],[Reach]]</f>
        <v>9.9480623252097486E-3</v>
      </c>
    </row>
    <row r="300" spans="1:19">
      <c r="A300" t="s">
        <v>335</v>
      </c>
      <c r="B300" s="2">
        <v>45837</v>
      </c>
      <c r="C300" t="s">
        <v>36</v>
      </c>
      <c r="D300" t="s">
        <v>20</v>
      </c>
      <c r="E300" t="s">
        <v>27</v>
      </c>
      <c r="F300" t="s">
        <v>42</v>
      </c>
      <c r="G300" t="s">
        <v>23</v>
      </c>
      <c r="H300" s="3">
        <v>86743</v>
      </c>
      <c r="I300" s="3">
        <v>74800</v>
      </c>
      <c r="J300" s="3">
        <v>56763</v>
      </c>
      <c r="K300" s="3">
        <v>1545</v>
      </c>
      <c r="L300" s="3">
        <v>197</v>
      </c>
      <c r="M300" s="3">
        <v>137</v>
      </c>
      <c r="N300" s="3">
        <v>403</v>
      </c>
      <c r="O300" s="3">
        <v>408</v>
      </c>
      <c r="P300" s="3">
        <v>32436</v>
      </c>
      <c r="Q300" s="3">
        <v>2282</v>
      </c>
      <c r="R300" s="4">
        <v>4.0199999999999996</v>
      </c>
      <c r="S300" s="6">
        <f>GlowNestSocialTable[[#This Row],[Link Clicks]]/GlowNestSocialTable[[#This Row],[Reach]]</f>
        <v>7.1877807726864335E-3</v>
      </c>
    </row>
    <row r="301" spans="1:19">
      <c r="A301" t="s">
        <v>336</v>
      </c>
      <c r="B301" s="2">
        <v>45838</v>
      </c>
      <c r="C301" t="s">
        <v>19</v>
      </c>
      <c r="D301" t="s">
        <v>34</v>
      </c>
      <c r="E301" t="s">
        <v>46</v>
      </c>
      <c r="F301" t="s">
        <v>42</v>
      </c>
      <c r="G301" t="s">
        <v>23</v>
      </c>
      <c r="H301" s="3">
        <v>72769</v>
      </c>
      <c r="I301" s="3">
        <v>19094</v>
      </c>
      <c r="J301" s="3">
        <v>16952</v>
      </c>
      <c r="K301" s="3">
        <v>461</v>
      </c>
      <c r="L301" s="3">
        <v>52</v>
      </c>
      <c r="M301" s="3">
        <v>72</v>
      </c>
      <c r="N301" s="3">
        <v>82</v>
      </c>
      <c r="O301" s="3">
        <v>283</v>
      </c>
      <c r="P301" s="3"/>
      <c r="Q301" s="3">
        <v>667</v>
      </c>
      <c r="R301" s="4">
        <v>3.93</v>
      </c>
      <c r="S301" s="6">
        <f>GlowNestSocialTable[[#This Row],[Link Clicks]]/GlowNestSocialTable[[#This Row],[Reach]]</f>
        <v>1.6694195375176971E-2</v>
      </c>
    </row>
    <row r="302" spans="1:19">
      <c r="A302" t="s">
        <v>337</v>
      </c>
      <c r="B302" s="2">
        <v>45839</v>
      </c>
      <c r="C302" t="s">
        <v>33</v>
      </c>
      <c r="D302" t="s">
        <v>20</v>
      </c>
      <c r="E302" t="s">
        <v>21</v>
      </c>
      <c r="F302" t="s">
        <v>28</v>
      </c>
      <c r="G302" t="s">
        <v>23</v>
      </c>
      <c r="H302" s="3">
        <v>34070</v>
      </c>
      <c r="I302" s="3">
        <v>17797</v>
      </c>
      <c r="J302" s="3">
        <v>11511</v>
      </c>
      <c r="K302" s="3">
        <v>389</v>
      </c>
      <c r="L302" s="3">
        <v>58</v>
      </c>
      <c r="M302" s="3">
        <v>62</v>
      </c>
      <c r="N302" s="3">
        <v>131</v>
      </c>
      <c r="O302" s="3">
        <v>147</v>
      </c>
      <c r="P302" s="3">
        <v>6714</v>
      </c>
      <c r="Q302" s="3">
        <v>640</v>
      </c>
      <c r="R302" s="4">
        <v>5.56</v>
      </c>
      <c r="S302" s="6">
        <f>GlowNestSocialTable[[#This Row],[Link Clicks]]/GlowNestSocialTable[[#This Row],[Reach]]</f>
        <v>1.2770393536617148E-2</v>
      </c>
    </row>
    <row r="303" spans="1:19">
      <c r="A303" t="s">
        <v>338</v>
      </c>
      <c r="B303" s="2">
        <v>45839</v>
      </c>
      <c r="C303" t="s">
        <v>19</v>
      </c>
      <c r="D303" t="s">
        <v>20</v>
      </c>
      <c r="E303" t="s">
        <v>46</v>
      </c>
      <c r="F303" t="s">
        <v>28</v>
      </c>
      <c r="G303" t="s">
        <v>23</v>
      </c>
      <c r="H303" s="3">
        <v>73116</v>
      </c>
      <c r="I303" s="3">
        <v>40989</v>
      </c>
      <c r="J303" s="3">
        <v>34965</v>
      </c>
      <c r="K303" s="3">
        <v>1304</v>
      </c>
      <c r="L303" s="3">
        <v>194</v>
      </c>
      <c r="M303" s="3">
        <v>119</v>
      </c>
      <c r="N303" s="3">
        <v>385</v>
      </c>
      <c r="O303" s="3">
        <v>471</v>
      </c>
      <c r="P303" s="3">
        <v>27297</v>
      </c>
      <c r="Q303" s="3">
        <v>2002</v>
      </c>
      <c r="R303" s="4">
        <v>5.73</v>
      </c>
      <c r="S303" s="6">
        <f>GlowNestSocialTable[[#This Row],[Link Clicks]]/GlowNestSocialTable[[#This Row],[Reach]]</f>
        <v>1.3470613470613471E-2</v>
      </c>
    </row>
    <row r="304" spans="1:19">
      <c r="A304" t="s">
        <v>339</v>
      </c>
      <c r="B304" s="2">
        <v>45840</v>
      </c>
      <c r="C304" t="s">
        <v>33</v>
      </c>
      <c r="D304" t="s">
        <v>34</v>
      </c>
      <c r="E304" t="s">
        <v>46</v>
      </c>
      <c r="F304" t="s">
        <v>44</v>
      </c>
      <c r="G304" t="s">
        <v>38</v>
      </c>
      <c r="H304" s="3">
        <v>34308</v>
      </c>
      <c r="I304" s="3">
        <v>13437</v>
      </c>
      <c r="J304" s="3">
        <v>12142</v>
      </c>
      <c r="K304" s="3">
        <v>275</v>
      </c>
      <c r="L304" s="3">
        <v>48</v>
      </c>
      <c r="M304" s="3">
        <v>36</v>
      </c>
      <c r="N304" s="3">
        <v>23</v>
      </c>
      <c r="O304" s="3">
        <v>155</v>
      </c>
      <c r="P304" s="3"/>
      <c r="Q304" s="3">
        <v>382</v>
      </c>
      <c r="R304" s="4">
        <v>3.15</v>
      </c>
      <c r="S304" s="6">
        <f>GlowNestSocialTable[[#This Row],[Link Clicks]]/GlowNestSocialTable[[#This Row],[Reach]]</f>
        <v>1.2765606984022402E-2</v>
      </c>
    </row>
    <row r="305" spans="1:19">
      <c r="A305" t="s">
        <v>340</v>
      </c>
      <c r="B305" s="2">
        <v>45840</v>
      </c>
      <c r="C305" t="s">
        <v>36</v>
      </c>
      <c r="D305" t="s">
        <v>34</v>
      </c>
      <c r="E305" t="s">
        <v>27</v>
      </c>
      <c r="F305" t="s">
        <v>42</v>
      </c>
      <c r="G305" t="s">
        <v>23</v>
      </c>
      <c r="H305" s="3">
        <v>88970</v>
      </c>
      <c r="I305" s="3">
        <v>53172</v>
      </c>
      <c r="J305" s="3">
        <v>42977</v>
      </c>
      <c r="K305" s="3">
        <v>755</v>
      </c>
      <c r="L305" s="3">
        <v>121</v>
      </c>
      <c r="M305" s="3">
        <v>71</v>
      </c>
      <c r="N305" s="3">
        <v>52</v>
      </c>
      <c r="O305" s="3">
        <v>245</v>
      </c>
      <c r="P305" s="3"/>
      <c r="Q305" s="3">
        <v>999</v>
      </c>
      <c r="R305" s="4">
        <v>2.3199999999999998</v>
      </c>
      <c r="S305" s="6">
        <f>GlowNestSocialTable[[#This Row],[Link Clicks]]/GlowNestSocialTable[[#This Row],[Reach]]</f>
        <v>5.7007236428787489E-3</v>
      </c>
    </row>
    <row r="306" spans="1:19">
      <c r="A306" t="s">
        <v>341</v>
      </c>
      <c r="B306" s="2">
        <v>45841</v>
      </c>
      <c r="C306" t="s">
        <v>36</v>
      </c>
      <c r="D306" t="s">
        <v>34</v>
      </c>
      <c r="E306" t="s">
        <v>21</v>
      </c>
      <c r="F306" t="s">
        <v>28</v>
      </c>
      <c r="G306" t="s">
        <v>38</v>
      </c>
      <c r="H306" s="3">
        <v>85609</v>
      </c>
      <c r="I306" s="3">
        <v>57320</v>
      </c>
      <c r="J306" s="3">
        <v>37162</v>
      </c>
      <c r="K306" s="3">
        <v>347</v>
      </c>
      <c r="L306" s="3">
        <v>44</v>
      </c>
      <c r="M306" s="3">
        <v>47</v>
      </c>
      <c r="N306" s="3">
        <v>72</v>
      </c>
      <c r="O306" s="3">
        <v>242</v>
      </c>
      <c r="P306" s="3"/>
      <c r="Q306" s="3">
        <v>510</v>
      </c>
      <c r="R306" s="4">
        <v>1.37</v>
      </c>
      <c r="S306" s="6">
        <f>GlowNestSocialTable[[#This Row],[Link Clicks]]/GlowNestSocialTable[[#This Row],[Reach]]</f>
        <v>6.5120284161239977E-3</v>
      </c>
    </row>
    <row r="307" spans="1:19">
      <c r="A307" t="s">
        <v>342</v>
      </c>
      <c r="B307" s="2">
        <v>45842</v>
      </c>
      <c r="C307" t="s">
        <v>19</v>
      </c>
      <c r="D307" t="s">
        <v>34</v>
      </c>
      <c r="E307" t="s">
        <v>46</v>
      </c>
      <c r="F307" t="s">
        <v>22</v>
      </c>
      <c r="G307" t="s">
        <v>23</v>
      </c>
      <c r="H307" s="3">
        <v>69688</v>
      </c>
      <c r="I307" s="3">
        <v>26703</v>
      </c>
      <c r="J307" s="3">
        <v>17886</v>
      </c>
      <c r="K307" s="3">
        <v>452</v>
      </c>
      <c r="L307" s="3">
        <v>63</v>
      </c>
      <c r="M307" s="3">
        <v>66</v>
      </c>
      <c r="N307" s="3">
        <v>27</v>
      </c>
      <c r="O307" s="3">
        <v>283</v>
      </c>
      <c r="P307" s="3"/>
      <c r="Q307" s="3">
        <v>608</v>
      </c>
      <c r="R307" s="4">
        <v>3.4</v>
      </c>
      <c r="S307" s="6">
        <f>GlowNestSocialTable[[#This Row],[Link Clicks]]/GlowNestSocialTable[[#This Row],[Reach]]</f>
        <v>1.5822430951582242E-2</v>
      </c>
    </row>
    <row r="308" spans="1:19">
      <c r="A308" t="s">
        <v>343</v>
      </c>
      <c r="B308" s="2">
        <v>45842</v>
      </c>
      <c r="C308" t="s">
        <v>36</v>
      </c>
      <c r="D308" t="s">
        <v>20</v>
      </c>
      <c r="E308" t="s">
        <v>25</v>
      </c>
      <c r="F308" t="s">
        <v>44</v>
      </c>
      <c r="G308" t="s">
        <v>23</v>
      </c>
      <c r="H308" s="3">
        <v>85750</v>
      </c>
      <c r="I308" s="3">
        <v>55215</v>
      </c>
      <c r="J308" s="3">
        <v>39576</v>
      </c>
      <c r="K308" s="3">
        <v>656</v>
      </c>
      <c r="L308" s="3">
        <v>100</v>
      </c>
      <c r="M308" s="3">
        <v>60</v>
      </c>
      <c r="N308" s="3">
        <v>90</v>
      </c>
      <c r="O308" s="3">
        <v>134</v>
      </c>
      <c r="P308" s="3">
        <v>30683</v>
      </c>
      <c r="Q308" s="3">
        <v>906</v>
      </c>
      <c r="R308" s="4">
        <v>2.29</v>
      </c>
      <c r="S308" s="6">
        <f>GlowNestSocialTable[[#This Row],[Link Clicks]]/GlowNestSocialTable[[#This Row],[Reach]]</f>
        <v>3.3858904386496868E-3</v>
      </c>
    </row>
    <row r="309" spans="1:19">
      <c r="A309" t="s">
        <v>344</v>
      </c>
      <c r="B309" s="2">
        <v>45843</v>
      </c>
      <c r="C309" t="s">
        <v>19</v>
      </c>
      <c r="D309" t="s">
        <v>37</v>
      </c>
      <c r="E309" t="s">
        <v>49</v>
      </c>
      <c r="F309" t="s">
        <v>44</v>
      </c>
      <c r="G309" t="s">
        <v>23</v>
      </c>
      <c r="H309" s="3">
        <v>72385</v>
      </c>
      <c r="I309" s="3">
        <v>26799</v>
      </c>
      <c r="J309" s="3">
        <v>23342</v>
      </c>
      <c r="K309" s="3">
        <v>1056</v>
      </c>
      <c r="L309" s="3">
        <v>157</v>
      </c>
      <c r="M309" s="3">
        <v>113</v>
      </c>
      <c r="N309" s="3">
        <v>139</v>
      </c>
      <c r="O309" s="3">
        <v>265</v>
      </c>
      <c r="P309" s="3"/>
      <c r="Q309" s="3">
        <v>1465</v>
      </c>
      <c r="R309" s="4">
        <v>6.28</v>
      </c>
      <c r="S309" s="6">
        <f>GlowNestSocialTable[[#This Row],[Link Clicks]]/GlowNestSocialTable[[#This Row],[Reach]]</f>
        <v>1.1352926056036329E-2</v>
      </c>
    </row>
    <row r="310" spans="1:19">
      <c r="A310" t="s">
        <v>345</v>
      </c>
      <c r="B310" s="2">
        <v>45843</v>
      </c>
      <c r="C310" t="s">
        <v>36</v>
      </c>
      <c r="D310" t="s">
        <v>30</v>
      </c>
      <c r="E310" t="s">
        <v>46</v>
      </c>
      <c r="F310" t="s">
        <v>31</v>
      </c>
      <c r="G310" t="s">
        <v>23</v>
      </c>
      <c r="H310" s="3">
        <v>86690</v>
      </c>
      <c r="I310" s="3">
        <v>40654</v>
      </c>
      <c r="J310" s="3">
        <v>29016</v>
      </c>
      <c r="K310" s="3">
        <v>432</v>
      </c>
      <c r="L310" s="3">
        <v>69</v>
      </c>
      <c r="M310" s="3">
        <v>38</v>
      </c>
      <c r="N310" s="3">
        <v>56</v>
      </c>
      <c r="O310" s="3">
        <v>119</v>
      </c>
      <c r="P310" s="3"/>
      <c r="Q310" s="3">
        <v>595</v>
      </c>
      <c r="R310" s="4">
        <v>2.0499999999999998</v>
      </c>
      <c r="S310" s="6">
        <f>GlowNestSocialTable[[#This Row],[Link Clicks]]/GlowNestSocialTable[[#This Row],[Reach]]</f>
        <v>4.1011855527984557E-3</v>
      </c>
    </row>
    <row r="311" spans="1:19">
      <c r="A311" t="s">
        <v>346</v>
      </c>
      <c r="B311" s="2">
        <v>45844</v>
      </c>
      <c r="C311" t="s">
        <v>33</v>
      </c>
      <c r="D311" t="s">
        <v>37</v>
      </c>
      <c r="E311" t="s">
        <v>49</v>
      </c>
      <c r="F311" t="s">
        <v>44</v>
      </c>
      <c r="G311" t="s">
        <v>23</v>
      </c>
      <c r="H311" s="3">
        <v>34791</v>
      </c>
      <c r="I311" s="3">
        <v>15582</v>
      </c>
      <c r="J311" s="3">
        <v>10835</v>
      </c>
      <c r="K311" s="3">
        <v>385</v>
      </c>
      <c r="L311" s="3">
        <v>48</v>
      </c>
      <c r="M311" s="3">
        <v>43</v>
      </c>
      <c r="N311" s="3">
        <v>88</v>
      </c>
      <c r="O311" s="3">
        <v>93</v>
      </c>
      <c r="P311" s="3"/>
      <c r="Q311" s="3">
        <v>564</v>
      </c>
      <c r="R311" s="4">
        <v>5.21</v>
      </c>
      <c r="S311" s="6">
        <f>GlowNestSocialTable[[#This Row],[Link Clicks]]/GlowNestSocialTable[[#This Row],[Reach]]</f>
        <v>8.5832948777111208E-3</v>
      </c>
    </row>
    <row r="312" spans="1:19">
      <c r="A312" t="s">
        <v>347</v>
      </c>
      <c r="B312" s="2">
        <v>45845</v>
      </c>
      <c r="C312" t="s">
        <v>36</v>
      </c>
      <c r="D312" t="s">
        <v>34</v>
      </c>
      <c r="E312" t="s">
        <v>49</v>
      </c>
      <c r="F312" t="s">
        <v>22</v>
      </c>
      <c r="G312" t="s">
        <v>23</v>
      </c>
      <c r="H312" s="3">
        <v>86538</v>
      </c>
      <c r="I312" s="3">
        <v>58874</v>
      </c>
      <c r="J312" s="3">
        <v>38249</v>
      </c>
      <c r="K312" s="3">
        <v>604</v>
      </c>
      <c r="L312" s="3">
        <v>65</v>
      </c>
      <c r="M312" s="3">
        <v>87</v>
      </c>
      <c r="N312" s="3">
        <v>43</v>
      </c>
      <c r="O312" s="3">
        <v>161</v>
      </c>
      <c r="P312" s="3"/>
      <c r="Q312" s="3">
        <v>799</v>
      </c>
      <c r="R312" s="4">
        <v>2.09</v>
      </c>
      <c r="S312" s="6">
        <f>GlowNestSocialTable[[#This Row],[Link Clicks]]/GlowNestSocialTable[[#This Row],[Reach]]</f>
        <v>4.2092603728202047E-3</v>
      </c>
    </row>
    <row r="313" spans="1:19">
      <c r="A313" t="s">
        <v>348</v>
      </c>
      <c r="B313" s="2">
        <v>45845</v>
      </c>
      <c r="C313" t="s">
        <v>33</v>
      </c>
      <c r="D313" t="s">
        <v>20</v>
      </c>
      <c r="E313" t="s">
        <v>27</v>
      </c>
      <c r="F313" t="s">
        <v>31</v>
      </c>
      <c r="G313" t="s">
        <v>23</v>
      </c>
      <c r="H313" s="3">
        <v>31827</v>
      </c>
      <c r="I313" s="3">
        <v>12008</v>
      </c>
      <c r="J313" s="3">
        <v>10758</v>
      </c>
      <c r="K313" s="3">
        <v>440</v>
      </c>
      <c r="L313" s="3">
        <v>64</v>
      </c>
      <c r="M313" s="3">
        <v>69</v>
      </c>
      <c r="N313" s="3">
        <v>236</v>
      </c>
      <c r="O313" s="3">
        <v>166</v>
      </c>
      <c r="P313" s="3">
        <v>7030</v>
      </c>
      <c r="Q313" s="3">
        <v>809</v>
      </c>
      <c r="R313" s="4">
        <v>7.52</v>
      </c>
      <c r="S313" s="6">
        <f>GlowNestSocialTable[[#This Row],[Link Clicks]]/GlowNestSocialTable[[#This Row],[Reach]]</f>
        <v>1.5430377393567578E-2</v>
      </c>
    </row>
    <row r="314" spans="1:19">
      <c r="A314" t="s">
        <v>349</v>
      </c>
      <c r="B314" s="2">
        <v>45846</v>
      </c>
      <c r="C314" t="s">
        <v>19</v>
      </c>
      <c r="D314" t="s">
        <v>20</v>
      </c>
      <c r="E314" t="s">
        <v>27</v>
      </c>
      <c r="F314" t="s">
        <v>22</v>
      </c>
      <c r="G314" t="s">
        <v>23</v>
      </c>
      <c r="H314" s="3">
        <v>71794</v>
      </c>
      <c r="I314" s="3">
        <v>31826</v>
      </c>
      <c r="J314" s="3">
        <v>27313</v>
      </c>
      <c r="K314" s="3">
        <v>1402</v>
      </c>
      <c r="L314" s="3">
        <v>151</v>
      </c>
      <c r="M314" s="3">
        <v>186</v>
      </c>
      <c r="N314" s="3">
        <v>452</v>
      </c>
      <c r="O314" s="3">
        <v>264</v>
      </c>
      <c r="P314" s="3">
        <v>20019</v>
      </c>
      <c r="Q314" s="3">
        <v>2191</v>
      </c>
      <c r="R314" s="4">
        <v>8.02</v>
      </c>
      <c r="S314" s="6">
        <f>GlowNestSocialTable[[#This Row],[Link Clicks]]/GlowNestSocialTable[[#This Row],[Reach]]</f>
        <v>9.6657269432138537E-3</v>
      </c>
    </row>
    <row r="315" spans="1:19">
      <c r="A315" t="s">
        <v>350</v>
      </c>
      <c r="B315" s="2">
        <v>45846</v>
      </c>
      <c r="C315" t="s">
        <v>36</v>
      </c>
      <c r="D315" t="s">
        <v>20</v>
      </c>
      <c r="E315" t="s">
        <v>27</v>
      </c>
      <c r="F315" t="s">
        <v>42</v>
      </c>
      <c r="G315" t="s">
        <v>38</v>
      </c>
      <c r="H315" s="3">
        <v>86979</v>
      </c>
      <c r="I315" s="3">
        <v>130622</v>
      </c>
      <c r="J315" s="3">
        <v>87435</v>
      </c>
      <c r="K315" s="3">
        <v>1972</v>
      </c>
      <c r="L315" s="3">
        <v>304</v>
      </c>
      <c r="M315" s="3">
        <v>323</v>
      </c>
      <c r="N315" s="3">
        <v>381</v>
      </c>
      <c r="O315" s="3">
        <v>499</v>
      </c>
      <c r="P315" s="3">
        <v>78229</v>
      </c>
      <c r="Q315" s="3">
        <v>2980</v>
      </c>
      <c r="R315" s="4">
        <v>3.41</v>
      </c>
      <c r="S315" s="6">
        <f>GlowNestSocialTable[[#This Row],[Link Clicks]]/GlowNestSocialTable[[#This Row],[Reach]]</f>
        <v>5.7070967004060162E-3</v>
      </c>
    </row>
    <row r="316" spans="1:19">
      <c r="A316" t="s">
        <v>351</v>
      </c>
      <c r="B316" s="2">
        <v>45847</v>
      </c>
      <c r="C316" t="s">
        <v>19</v>
      </c>
      <c r="D316" t="s">
        <v>37</v>
      </c>
      <c r="E316" t="s">
        <v>49</v>
      </c>
      <c r="F316" t="s">
        <v>42</v>
      </c>
      <c r="G316" t="s">
        <v>23</v>
      </c>
      <c r="H316" s="3">
        <v>71432</v>
      </c>
      <c r="I316" s="3">
        <v>29961</v>
      </c>
      <c r="J316" s="3">
        <v>25951</v>
      </c>
      <c r="K316" s="3">
        <v>926</v>
      </c>
      <c r="L316" s="3">
        <v>107</v>
      </c>
      <c r="M316" s="3">
        <v>112</v>
      </c>
      <c r="N316" s="3">
        <v>257</v>
      </c>
      <c r="O316" s="3">
        <v>296</v>
      </c>
      <c r="P316" s="3"/>
      <c r="Q316" s="3">
        <v>1402</v>
      </c>
      <c r="R316" s="4">
        <v>5.4</v>
      </c>
      <c r="S316" s="6">
        <f>GlowNestSocialTable[[#This Row],[Link Clicks]]/GlowNestSocialTable[[#This Row],[Reach]]</f>
        <v>1.1406111517860583E-2</v>
      </c>
    </row>
    <row r="317" spans="1:19">
      <c r="A317" t="s">
        <v>352</v>
      </c>
      <c r="B317" s="2">
        <v>45848</v>
      </c>
      <c r="C317" t="s">
        <v>19</v>
      </c>
      <c r="D317" t="s">
        <v>20</v>
      </c>
      <c r="E317" t="s">
        <v>21</v>
      </c>
      <c r="F317" t="s">
        <v>44</v>
      </c>
      <c r="G317" t="s">
        <v>23</v>
      </c>
      <c r="H317" s="3">
        <v>71555</v>
      </c>
      <c r="I317" s="3">
        <v>42921</v>
      </c>
      <c r="J317" s="3">
        <v>36495</v>
      </c>
      <c r="K317" s="3">
        <v>2065</v>
      </c>
      <c r="L317" s="3">
        <v>211</v>
      </c>
      <c r="M317" s="3">
        <v>242</v>
      </c>
      <c r="N317" s="3">
        <v>572</v>
      </c>
      <c r="O317" s="3">
        <v>375</v>
      </c>
      <c r="P317" s="3">
        <v>21358</v>
      </c>
      <c r="Q317" s="3">
        <v>3090</v>
      </c>
      <c r="R317" s="4">
        <v>8.4700000000000006</v>
      </c>
      <c r="S317" s="6">
        <f>GlowNestSocialTable[[#This Row],[Link Clicks]]/GlowNestSocialTable[[#This Row],[Reach]]</f>
        <v>1.0275380189066995E-2</v>
      </c>
    </row>
    <row r="318" spans="1:19">
      <c r="A318" t="s">
        <v>353</v>
      </c>
      <c r="B318" s="2">
        <v>45848</v>
      </c>
      <c r="C318" t="s">
        <v>33</v>
      </c>
      <c r="D318" t="s">
        <v>37</v>
      </c>
      <c r="E318" t="s">
        <v>27</v>
      </c>
      <c r="F318" t="s">
        <v>44</v>
      </c>
      <c r="G318" t="s">
        <v>38</v>
      </c>
      <c r="H318" s="3">
        <v>35252</v>
      </c>
      <c r="I318" s="3">
        <v>14729</v>
      </c>
      <c r="J318" s="3">
        <v>12127</v>
      </c>
      <c r="K318" s="3">
        <v>359</v>
      </c>
      <c r="L318" s="3">
        <v>67</v>
      </c>
      <c r="M318" s="3">
        <v>55</v>
      </c>
      <c r="N318" s="3">
        <v>103</v>
      </c>
      <c r="O318" s="3">
        <v>182</v>
      </c>
      <c r="P318" s="3"/>
      <c r="Q318" s="3">
        <v>584</v>
      </c>
      <c r="R318" s="4">
        <v>4.82</v>
      </c>
      <c r="S318" s="6">
        <f>GlowNestSocialTable[[#This Row],[Link Clicks]]/GlowNestSocialTable[[#This Row],[Reach]]</f>
        <v>1.5007833759379896E-2</v>
      </c>
    </row>
    <row r="319" spans="1:19">
      <c r="A319" t="s">
        <v>354</v>
      </c>
      <c r="B319" s="2">
        <v>45849</v>
      </c>
      <c r="C319" t="s">
        <v>36</v>
      </c>
      <c r="D319" t="s">
        <v>34</v>
      </c>
      <c r="E319" t="s">
        <v>27</v>
      </c>
      <c r="F319" t="s">
        <v>42</v>
      </c>
      <c r="G319" t="s">
        <v>23</v>
      </c>
      <c r="H319" s="3">
        <v>87314</v>
      </c>
      <c r="I319" s="3">
        <v>40677</v>
      </c>
      <c r="J319" s="3">
        <v>31008</v>
      </c>
      <c r="K319" s="3">
        <v>428</v>
      </c>
      <c r="L319" s="3">
        <v>65</v>
      </c>
      <c r="M319" s="3">
        <v>76</v>
      </c>
      <c r="N319" s="3">
        <v>100</v>
      </c>
      <c r="O319" s="3">
        <v>253</v>
      </c>
      <c r="P319" s="3"/>
      <c r="Q319" s="3">
        <v>669</v>
      </c>
      <c r="R319" s="4">
        <v>2.16</v>
      </c>
      <c r="S319" s="6">
        <f>GlowNestSocialTable[[#This Row],[Link Clicks]]/GlowNestSocialTable[[#This Row],[Reach]]</f>
        <v>8.1591847265221878E-3</v>
      </c>
    </row>
    <row r="320" spans="1:19">
      <c r="A320" t="s">
        <v>355</v>
      </c>
      <c r="B320" s="2">
        <v>45850</v>
      </c>
      <c r="C320" t="s">
        <v>19</v>
      </c>
      <c r="D320" t="s">
        <v>37</v>
      </c>
      <c r="E320" t="s">
        <v>27</v>
      </c>
      <c r="F320" t="s">
        <v>22</v>
      </c>
      <c r="G320" t="s">
        <v>38</v>
      </c>
      <c r="H320" s="3">
        <v>71548</v>
      </c>
      <c r="I320" s="3">
        <v>41889</v>
      </c>
      <c r="J320" s="3">
        <v>36429</v>
      </c>
      <c r="K320" s="3">
        <v>2126</v>
      </c>
      <c r="L320" s="3">
        <v>324</v>
      </c>
      <c r="M320" s="3">
        <v>190</v>
      </c>
      <c r="N320" s="3">
        <v>303</v>
      </c>
      <c r="O320" s="3">
        <v>478</v>
      </c>
      <c r="P320" s="3"/>
      <c r="Q320" s="3">
        <v>2943</v>
      </c>
      <c r="R320" s="4">
        <v>8.08</v>
      </c>
      <c r="S320" s="6">
        <f>GlowNestSocialTable[[#This Row],[Link Clicks]]/GlowNestSocialTable[[#This Row],[Reach]]</f>
        <v>1.3121414257871476E-2</v>
      </c>
    </row>
    <row r="321" spans="1:19">
      <c r="A321" t="s">
        <v>356</v>
      </c>
      <c r="B321" s="2">
        <v>45850</v>
      </c>
      <c r="C321" t="s">
        <v>19</v>
      </c>
      <c r="D321" t="s">
        <v>20</v>
      </c>
      <c r="E321" t="s">
        <v>25</v>
      </c>
      <c r="F321" t="s">
        <v>42</v>
      </c>
      <c r="G321" t="s">
        <v>23</v>
      </c>
      <c r="H321" s="3">
        <v>71330</v>
      </c>
      <c r="I321" s="3">
        <v>46790</v>
      </c>
      <c r="J321" s="3">
        <v>34241</v>
      </c>
      <c r="K321" s="3">
        <v>1482</v>
      </c>
      <c r="L321" s="3">
        <v>144</v>
      </c>
      <c r="M321" s="3">
        <v>133</v>
      </c>
      <c r="N321" s="3">
        <v>185</v>
      </c>
      <c r="O321" s="3">
        <v>233</v>
      </c>
      <c r="P321" s="3">
        <v>24414</v>
      </c>
      <c r="Q321" s="3">
        <v>1944</v>
      </c>
      <c r="R321" s="4">
        <v>5.68</v>
      </c>
      <c r="S321" s="6">
        <f>GlowNestSocialTable[[#This Row],[Link Clicks]]/GlowNestSocialTable[[#This Row],[Reach]]</f>
        <v>6.8047078064308866E-3</v>
      </c>
    </row>
    <row r="322" spans="1:19">
      <c r="A322" t="s">
        <v>357</v>
      </c>
      <c r="B322" s="2">
        <v>45851</v>
      </c>
      <c r="C322" t="s">
        <v>36</v>
      </c>
      <c r="D322" t="s">
        <v>30</v>
      </c>
      <c r="E322" t="s">
        <v>27</v>
      </c>
      <c r="F322" t="s">
        <v>42</v>
      </c>
      <c r="G322" t="s">
        <v>23</v>
      </c>
      <c r="H322" s="3">
        <v>86635</v>
      </c>
      <c r="I322" s="3">
        <v>39325</v>
      </c>
      <c r="J322" s="3">
        <v>35766</v>
      </c>
      <c r="K322" s="3">
        <v>561</v>
      </c>
      <c r="L322" s="3">
        <v>94</v>
      </c>
      <c r="M322" s="3">
        <v>54</v>
      </c>
      <c r="N322" s="3">
        <v>198</v>
      </c>
      <c r="O322" s="3">
        <v>140</v>
      </c>
      <c r="P322" s="3"/>
      <c r="Q322" s="3">
        <v>907</v>
      </c>
      <c r="R322" s="4">
        <v>2.54</v>
      </c>
      <c r="S322" s="6">
        <f>GlowNestSocialTable[[#This Row],[Link Clicks]]/GlowNestSocialTable[[#This Row],[Reach]]</f>
        <v>3.914332047195661E-3</v>
      </c>
    </row>
    <row r="323" spans="1:19">
      <c r="A323" t="s">
        <v>358</v>
      </c>
      <c r="B323" s="2">
        <v>45851</v>
      </c>
      <c r="C323" t="s">
        <v>19</v>
      </c>
      <c r="D323" t="s">
        <v>30</v>
      </c>
      <c r="E323" t="s">
        <v>49</v>
      </c>
      <c r="F323" t="s">
        <v>22</v>
      </c>
      <c r="G323" t="s">
        <v>23</v>
      </c>
      <c r="H323" s="3">
        <v>73306</v>
      </c>
      <c r="I323" s="3">
        <v>23379</v>
      </c>
      <c r="J323" s="3">
        <v>18869</v>
      </c>
      <c r="K323" s="3">
        <v>744</v>
      </c>
      <c r="L323" s="3">
        <v>99</v>
      </c>
      <c r="M323" s="3">
        <v>125</v>
      </c>
      <c r="N323" s="3">
        <v>97</v>
      </c>
      <c r="O323" s="3">
        <v>121</v>
      </c>
      <c r="P323" s="3"/>
      <c r="Q323" s="3">
        <v>1065</v>
      </c>
      <c r="R323" s="4">
        <v>5.64</v>
      </c>
      <c r="S323" s="6">
        <f>GlowNestSocialTable[[#This Row],[Link Clicks]]/GlowNestSocialTable[[#This Row],[Reach]]</f>
        <v>6.4126344798346498E-3</v>
      </c>
    </row>
    <row r="324" spans="1:19">
      <c r="A324" t="s">
        <v>359</v>
      </c>
      <c r="B324" s="2">
        <v>45852</v>
      </c>
      <c r="C324" t="s">
        <v>19</v>
      </c>
      <c r="D324" t="s">
        <v>37</v>
      </c>
      <c r="E324" t="s">
        <v>27</v>
      </c>
      <c r="F324" t="s">
        <v>22</v>
      </c>
      <c r="G324" t="s">
        <v>23</v>
      </c>
      <c r="H324" s="3">
        <v>69832</v>
      </c>
      <c r="I324" s="3">
        <v>35864</v>
      </c>
      <c r="J324" s="3">
        <v>23455</v>
      </c>
      <c r="K324" s="3">
        <v>939</v>
      </c>
      <c r="L324" s="3">
        <v>127</v>
      </c>
      <c r="M324" s="3">
        <v>124</v>
      </c>
      <c r="N324" s="3">
        <v>306</v>
      </c>
      <c r="O324" s="3">
        <v>347</v>
      </c>
      <c r="P324" s="3"/>
      <c r="Q324" s="3">
        <v>1496</v>
      </c>
      <c r="R324" s="4">
        <v>6.38</v>
      </c>
      <c r="S324" s="6">
        <f>GlowNestSocialTable[[#This Row],[Link Clicks]]/GlowNestSocialTable[[#This Row],[Reach]]</f>
        <v>1.4794286932423789E-2</v>
      </c>
    </row>
    <row r="325" spans="1:19">
      <c r="A325" t="s">
        <v>360</v>
      </c>
      <c r="B325" s="2">
        <v>45853</v>
      </c>
      <c r="C325" t="s">
        <v>19</v>
      </c>
      <c r="D325" t="s">
        <v>37</v>
      </c>
      <c r="E325" t="s">
        <v>27</v>
      </c>
      <c r="F325" t="s">
        <v>22</v>
      </c>
      <c r="G325" t="s">
        <v>23</v>
      </c>
      <c r="H325" s="3">
        <v>72394</v>
      </c>
      <c r="I325" s="3">
        <v>31709</v>
      </c>
      <c r="J325" s="3">
        <v>25325</v>
      </c>
      <c r="K325" s="3">
        <v>1016</v>
      </c>
      <c r="L325" s="3">
        <v>160</v>
      </c>
      <c r="M325" s="3">
        <v>177</v>
      </c>
      <c r="N325" s="3">
        <v>233</v>
      </c>
      <c r="O325" s="3">
        <v>258</v>
      </c>
      <c r="P325" s="3"/>
      <c r="Q325" s="3">
        <v>1586</v>
      </c>
      <c r="R325" s="4">
        <v>6.26</v>
      </c>
      <c r="S325" s="6">
        <f>GlowNestSocialTable[[#This Row],[Link Clicks]]/GlowNestSocialTable[[#This Row],[Reach]]</f>
        <v>1.018756169792695E-2</v>
      </c>
    </row>
    <row r="326" spans="1:19">
      <c r="A326" t="s">
        <v>361</v>
      </c>
      <c r="B326" s="2">
        <v>45853</v>
      </c>
      <c r="C326" t="s">
        <v>36</v>
      </c>
      <c r="D326" t="s">
        <v>37</v>
      </c>
      <c r="E326" t="s">
        <v>49</v>
      </c>
      <c r="F326" t="s">
        <v>22</v>
      </c>
      <c r="G326" t="s">
        <v>235</v>
      </c>
      <c r="H326" s="3">
        <v>87281</v>
      </c>
      <c r="I326" s="3">
        <v>44769</v>
      </c>
      <c r="J326" s="3">
        <v>30286</v>
      </c>
      <c r="K326" s="3">
        <v>559</v>
      </c>
      <c r="L326" s="3">
        <v>80</v>
      </c>
      <c r="M326" s="3">
        <v>84</v>
      </c>
      <c r="N326" s="3">
        <v>168</v>
      </c>
      <c r="O326" s="3">
        <v>131</v>
      </c>
      <c r="P326" s="3"/>
      <c r="Q326" s="3">
        <v>891</v>
      </c>
      <c r="R326" s="4">
        <v>2.94</v>
      </c>
      <c r="S326" s="6">
        <f>GlowNestSocialTable[[#This Row],[Link Clicks]]/GlowNestSocialTable[[#This Row],[Reach]]</f>
        <v>4.325430892161395E-3</v>
      </c>
    </row>
    <row r="327" spans="1:19">
      <c r="A327" t="s">
        <v>362</v>
      </c>
      <c r="B327" s="2">
        <v>45854</v>
      </c>
      <c r="C327" t="s">
        <v>33</v>
      </c>
      <c r="D327" t="s">
        <v>34</v>
      </c>
      <c r="E327" t="s">
        <v>49</v>
      </c>
      <c r="F327" t="s">
        <v>44</v>
      </c>
      <c r="G327" t="s">
        <v>23</v>
      </c>
      <c r="H327" s="3">
        <v>32620</v>
      </c>
      <c r="I327" s="3">
        <v>10136</v>
      </c>
      <c r="J327" s="3">
        <v>7336</v>
      </c>
      <c r="K327" s="3">
        <v>187</v>
      </c>
      <c r="L327" s="3">
        <v>28</v>
      </c>
      <c r="M327" s="3">
        <v>17</v>
      </c>
      <c r="N327" s="3">
        <v>19</v>
      </c>
      <c r="O327" s="3">
        <v>96</v>
      </c>
      <c r="P327" s="3"/>
      <c r="Q327" s="3">
        <v>251</v>
      </c>
      <c r="R327" s="4">
        <v>3.42</v>
      </c>
      <c r="S327" s="6">
        <f>GlowNestSocialTable[[#This Row],[Link Clicks]]/GlowNestSocialTable[[#This Row],[Reach]]</f>
        <v>1.3086150490730643E-2</v>
      </c>
    </row>
    <row r="328" spans="1:19">
      <c r="A328" t="s">
        <v>363</v>
      </c>
      <c r="B328" s="2">
        <v>45854</v>
      </c>
      <c r="C328" t="s">
        <v>19</v>
      </c>
      <c r="D328" t="s">
        <v>20</v>
      </c>
      <c r="E328" t="s">
        <v>49</v>
      </c>
      <c r="F328" t="s">
        <v>42</v>
      </c>
      <c r="G328" t="s">
        <v>23</v>
      </c>
      <c r="H328" s="3">
        <v>74042</v>
      </c>
      <c r="I328" s="3">
        <v>42568</v>
      </c>
      <c r="J328" s="3">
        <v>29484</v>
      </c>
      <c r="K328" s="3">
        <v>1234</v>
      </c>
      <c r="L328" s="3">
        <v>186</v>
      </c>
      <c r="M328" s="3">
        <v>159</v>
      </c>
      <c r="N328" s="3">
        <v>476</v>
      </c>
      <c r="O328" s="3">
        <v>197</v>
      </c>
      <c r="P328" s="3">
        <v>17512</v>
      </c>
      <c r="Q328" s="3">
        <v>2055</v>
      </c>
      <c r="R328" s="4">
        <v>6.97</v>
      </c>
      <c r="S328" s="6">
        <f>GlowNestSocialTable[[#This Row],[Link Clicks]]/GlowNestSocialTable[[#This Row],[Reach]]</f>
        <v>6.6815900149233484E-3</v>
      </c>
    </row>
    <row r="329" spans="1:19">
      <c r="A329" t="s">
        <v>364</v>
      </c>
      <c r="B329" s="2">
        <v>45855</v>
      </c>
      <c r="C329" t="s">
        <v>33</v>
      </c>
      <c r="D329" t="s">
        <v>37</v>
      </c>
      <c r="E329" t="s">
        <v>25</v>
      </c>
      <c r="F329" t="s">
        <v>28</v>
      </c>
      <c r="G329" t="s">
        <v>23</v>
      </c>
      <c r="H329" s="3">
        <v>33174</v>
      </c>
      <c r="I329" s="3">
        <v>9372</v>
      </c>
      <c r="J329" s="3">
        <v>6798</v>
      </c>
      <c r="K329" s="3">
        <v>145</v>
      </c>
      <c r="L329" s="3">
        <v>18</v>
      </c>
      <c r="M329" s="3">
        <v>15</v>
      </c>
      <c r="N329" s="3">
        <v>29</v>
      </c>
      <c r="O329" s="3">
        <v>83</v>
      </c>
      <c r="P329" s="3"/>
      <c r="Q329" s="3">
        <v>207</v>
      </c>
      <c r="R329" s="4">
        <v>3.05</v>
      </c>
      <c r="S329" s="6">
        <f>GlowNestSocialTable[[#This Row],[Link Clicks]]/GlowNestSocialTable[[#This Row],[Reach]]</f>
        <v>1.2209473374521919E-2</v>
      </c>
    </row>
    <row r="330" spans="1:19">
      <c r="A330" t="s">
        <v>365</v>
      </c>
      <c r="B330" s="2">
        <v>45856</v>
      </c>
      <c r="C330" t="s">
        <v>36</v>
      </c>
      <c r="D330" t="s">
        <v>37</v>
      </c>
      <c r="E330" t="s">
        <v>27</v>
      </c>
      <c r="F330" t="s">
        <v>31</v>
      </c>
      <c r="G330" t="s">
        <v>23</v>
      </c>
      <c r="H330" s="3">
        <v>87212</v>
      </c>
      <c r="I330" s="3">
        <v>71923</v>
      </c>
      <c r="J330" s="3">
        <v>50438</v>
      </c>
      <c r="K330" s="3">
        <v>1003</v>
      </c>
      <c r="L330" s="3">
        <v>144</v>
      </c>
      <c r="M330" s="3">
        <v>167</v>
      </c>
      <c r="N330" s="3">
        <v>279</v>
      </c>
      <c r="O330" s="3">
        <v>279</v>
      </c>
      <c r="P330" s="3"/>
      <c r="Q330" s="3">
        <v>1593</v>
      </c>
      <c r="R330" s="4">
        <v>3.16</v>
      </c>
      <c r="S330" s="6">
        <f>GlowNestSocialTable[[#This Row],[Link Clicks]]/GlowNestSocialTable[[#This Row],[Reach]]</f>
        <v>5.5315436773860976E-3</v>
      </c>
    </row>
    <row r="331" spans="1:19">
      <c r="A331" t="s">
        <v>366</v>
      </c>
      <c r="B331" s="2">
        <v>45856</v>
      </c>
      <c r="C331" t="s">
        <v>36</v>
      </c>
      <c r="D331" t="s">
        <v>37</v>
      </c>
      <c r="E331" t="s">
        <v>25</v>
      </c>
      <c r="F331" t="s">
        <v>28</v>
      </c>
      <c r="G331" t="s">
        <v>23</v>
      </c>
      <c r="H331" s="3">
        <v>86594</v>
      </c>
      <c r="I331" s="3">
        <v>55506</v>
      </c>
      <c r="J331" s="3">
        <v>36696</v>
      </c>
      <c r="K331" s="3">
        <v>491</v>
      </c>
      <c r="L331" s="3">
        <v>81</v>
      </c>
      <c r="M331" s="3">
        <v>48</v>
      </c>
      <c r="N331" s="3">
        <v>42</v>
      </c>
      <c r="O331" s="3">
        <v>155</v>
      </c>
      <c r="P331" s="3"/>
      <c r="Q331" s="3">
        <v>662</v>
      </c>
      <c r="R331" s="4">
        <v>1.8</v>
      </c>
      <c r="S331" s="6">
        <f>GlowNestSocialTable[[#This Row],[Link Clicks]]/GlowNestSocialTable[[#This Row],[Reach]]</f>
        <v>4.2238936123828209E-3</v>
      </c>
    </row>
    <row r="332" spans="1:19">
      <c r="A332" t="s">
        <v>367</v>
      </c>
      <c r="B332" s="2">
        <v>45857</v>
      </c>
      <c r="C332" t="s">
        <v>19</v>
      </c>
      <c r="D332" t="s">
        <v>20</v>
      </c>
      <c r="E332" t="s">
        <v>25</v>
      </c>
      <c r="F332" t="s">
        <v>44</v>
      </c>
      <c r="G332" t="s">
        <v>38</v>
      </c>
      <c r="H332" s="3">
        <v>73258</v>
      </c>
      <c r="I332" s="3">
        <v>83784</v>
      </c>
      <c r="J332" s="3">
        <v>54997</v>
      </c>
      <c r="K332" s="3">
        <v>1625</v>
      </c>
      <c r="L332" s="3">
        <v>276</v>
      </c>
      <c r="M332" s="3">
        <v>183</v>
      </c>
      <c r="N332" s="3">
        <v>218</v>
      </c>
      <c r="O332" s="3">
        <v>524</v>
      </c>
      <c r="P332" s="3">
        <v>43989</v>
      </c>
      <c r="Q332" s="3">
        <v>2302</v>
      </c>
      <c r="R332" s="4">
        <v>4.1900000000000004</v>
      </c>
      <c r="S332" s="6">
        <f>GlowNestSocialTable[[#This Row],[Link Clicks]]/GlowNestSocialTable[[#This Row],[Reach]]</f>
        <v>9.5277924250413652E-3</v>
      </c>
    </row>
    <row r="333" spans="1:19">
      <c r="A333" t="s">
        <v>368</v>
      </c>
      <c r="B333" s="2">
        <v>45857</v>
      </c>
      <c r="C333" t="s">
        <v>33</v>
      </c>
      <c r="D333" t="s">
        <v>34</v>
      </c>
      <c r="E333" t="s">
        <v>27</v>
      </c>
      <c r="F333" t="s">
        <v>28</v>
      </c>
      <c r="G333" t="s">
        <v>23</v>
      </c>
      <c r="H333" s="3">
        <v>35406</v>
      </c>
      <c r="I333" s="3">
        <v>13542</v>
      </c>
      <c r="J333" s="3">
        <v>8885</v>
      </c>
      <c r="K333" s="3">
        <v>210</v>
      </c>
      <c r="L333" s="3">
        <v>29</v>
      </c>
      <c r="M333" s="3">
        <v>38</v>
      </c>
      <c r="N333" s="3">
        <v>42</v>
      </c>
      <c r="O333" s="3">
        <v>194</v>
      </c>
      <c r="P333" s="3"/>
      <c r="Q333" s="3">
        <v>319</v>
      </c>
      <c r="R333" s="4">
        <v>3.59</v>
      </c>
      <c r="S333" s="6">
        <f>GlowNestSocialTable[[#This Row],[Link Clicks]]/GlowNestSocialTable[[#This Row],[Reach]]</f>
        <v>2.1834552616769837E-2</v>
      </c>
    </row>
    <row r="334" spans="1:19">
      <c r="A334" t="s">
        <v>369</v>
      </c>
      <c r="B334" s="2">
        <v>45858</v>
      </c>
      <c r="C334" t="s">
        <v>36</v>
      </c>
      <c r="D334" t="s">
        <v>34</v>
      </c>
      <c r="E334" t="s">
        <v>46</v>
      </c>
      <c r="F334" t="s">
        <v>22</v>
      </c>
      <c r="G334" t="s">
        <v>23</v>
      </c>
      <c r="H334" s="3">
        <v>88479</v>
      </c>
      <c r="I334" s="3">
        <v>35895</v>
      </c>
      <c r="J334" s="3">
        <v>32871</v>
      </c>
      <c r="K334" s="3">
        <v>453</v>
      </c>
      <c r="L334" s="3">
        <v>59</v>
      </c>
      <c r="M334" s="3">
        <v>60</v>
      </c>
      <c r="N334" s="3">
        <v>53</v>
      </c>
      <c r="O334" s="3">
        <v>153</v>
      </c>
      <c r="P334" s="3"/>
      <c r="Q334" s="3">
        <v>625</v>
      </c>
      <c r="R334" s="4">
        <v>1.9</v>
      </c>
      <c r="S334" s="6">
        <f>GlowNestSocialTable[[#This Row],[Link Clicks]]/GlowNestSocialTable[[#This Row],[Reach]]</f>
        <v>4.6545587295792647E-3</v>
      </c>
    </row>
    <row r="335" spans="1:19">
      <c r="A335" t="s">
        <v>370</v>
      </c>
      <c r="B335" s="2">
        <v>45859</v>
      </c>
      <c r="C335" t="s">
        <v>36</v>
      </c>
      <c r="D335" t="s">
        <v>20</v>
      </c>
      <c r="E335" t="s">
        <v>21</v>
      </c>
      <c r="F335" t="s">
        <v>31</v>
      </c>
      <c r="G335" t="s">
        <v>23</v>
      </c>
      <c r="H335" s="3">
        <v>87143</v>
      </c>
      <c r="I335" s="3">
        <v>66597</v>
      </c>
      <c r="J335" s="3">
        <v>53052</v>
      </c>
      <c r="K335" s="3">
        <v>1175</v>
      </c>
      <c r="L335" s="3">
        <v>185</v>
      </c>
      <c r="M335" s="3">
        <v>189</v>
      </c>
      <c r="N335" s="3">
        <v>410</v>
      </c>
      <c r="O335" s="3">
        <v>257</v>
      </c>
      <c r="P335" s="3">
        <v>42754</v>
      </c>
      <c r="Q335" s="3">
        <v>1959</v>
      </c>
      <c r="R335" s="4">
        <v>3.69</v>
      </c>
      <c r="S335" s="6">
        <f>GlowNestSocialTable[[#This Row],[Link Clicks]]/GlowNestSocialTable[[#This Row],[Reach]]</f>
        <v>4.8443037020281989E-3</v>
      </c>
    </row>
    <row r="336" spans="1:19">
      <c r="A336" t="s">
        <v>371</v>
      </c>
      <c r="B336" s="2">
        <v>45859</v>
      </c>
      <c r="C336" t="s">
        <v>36</v>
      </c>
      <c r="D336" t="s">
        <v>30</v>
      </c>
      <c r="E336" t="s">
        <v>21</v>
      </c>
      <c r="F336" t="s">
        <v>28</v>
      </c>
      <c r="G336" t="s">
        <v>38</v>
      </c>
      <c r="H336" s="3">
        <v>88236</v>
      </c>
      <c r="I336" s="3">
        <v>94408</v>
      </c>
      <c r="J336" s="3">
        <v>61107</v>
      </c>
      <c r="K336" s="3">
        <v>656</v>
      </c>
      <c r="L336" s="3">
        <v>72</v>
      </c>
      <c r="M336" s="3">
        <v>63</v>
      </c>
      <c r="N336" s="3">
        <v>109</v>
      </c>
      <c r="O336" s="3">
        <v>326</v>
      </c>
      <c r="P336" s="3"/>
      <c r="Q336" s="3">
        <v>900</v>
      </c>
      <c r="R336" s="4">
        <v>1.47</v>
      </c>
      <c r="S336" s="6">
        <f>GlowNestSocialTable[[#This Row],[Link Clicks]]/GlowNestSocialTable[[#This Row],[Reach]]</f>
        <v>5.334904348110691E-3</v>
      </c>
    </row>
    <row r="337" spans="1:19">
      <c r="A337" t="s">
        <v>372</v>
      </c>
      <c r="B337" s="2">
        <v>45860</v>
      </c>
      <c r="C337" t="s">
        <v>33</v>
      </c>
      <c r="D337" t="s">
        <v>37</v>
      </c>
      <c r="E337" t="s">
        <v>46</v>
      </c>
      <c r="G337" t="s">
        <v>23</v>
      </c>
      <c r="H337" s="3">
        <v>35337</v>
      </c>
      <c r="I337" s="3">
        <v>9190</v>
      </c>
      <c r="J337" s="3">
        <v>7660</v>
      </c>
      <c r="K337" s="3">
        <v>255</v>
      </c>
      <c r="L337" s="3">
        <v>32</v>
      </c>
      <c r="M337" s="3">
        <v>43</v>
      </c>
      <c r="N337" s="3">
        <v>70</v>
      </c>
      <c r="O337" s="3">
        <v>89</v>
      </c>
      <c r="P337" s="3"/>
      <c r="Q337" s="3">
        <v>400</v>
      </c>
      <c r="R337" s="4">
        <v>5.22</v>
      </c>
      <c r="S337" s="6">
        <f>GlowNestSocialTable[[#This Row],[Link Clicks]]/GlowNestSocialTable[[#This Row],[Reach]]</f>
        <v>1.1618798955613577E-2</v>
      </c>
    </row>
    <row r="338" spans="1:19">
      <c r="A338" t="s">
        <v>373</v>
      </c>
      <c r="B338" s="2">
        <v>45860</v>
      </c>
      <c r="C338" t="s">
        <v>36</v>
      </c>
      <c r="D338" t="s">
        <v>30</v>
      </c>
      <c r="E338" t="s">
        <v>25</v>
      </c>
      <c r="F338" t="s">
        <v>22</v>
      </c>
      <c r="G338" t="s">
        <v>23</v>
      </c>
      <c r="H338" s="3">
        <v>87961</v>
      </c>
      <c r="I338" s="3">
        <v>48551</v>
      </c>
      <c r="J338" s="3">
        <v>33672</v>
      </c>
      <c r="K338" s="3">
        <v>344</v>
      </c>
      <c r="L338" s="3">
        <v>57</v>
      </c>
      <c r="M338" s="3">
        <v>40</v>
      </c>
      <c r="N338" s="3">
        <v>7</v>
      </c>
      <c r="O338" s="3">
        <v>142</v>
      </c>
      <c r="P338" s="3"/>
      <c r="Q338" s="3">
        <v>448</v>
      </c>
      <c r="R338" s="4">
        <v>1.33</v>
      </c>
      <c r="S338" s="6">
        <f>GlowNestSocialTable[[#This Row],[Link Clicks]]/GlowNestSocialTable[[#This Row],[Reach]]</f>
        <v>4.2171537182228557E-3</v>
      </c>
    </row>
    <row r="339" spans="1:19">
      <c r="A339" t="s">
        <v>374</v>
      </c>
      <c r="B339" s="2">
        <v>45861</v>
      </c>
      <c r="C339" t="s">
        <v>33</v>
      </c>
      <c r="D339" t="s">
        <v>30</v>
      </c>
      <c r="E339" t="s">
        <v>27</v>
      </c>
      <c r="F339" t="s">
        <v>31</v>
      </c>
      <c r="G339" t="s">
        <v>23</v>
      </c>
      <c r="H339" s="3">
        <v>31570</v>
      </c>
      <c r="I339" s="3">
        <v>7855</v>
      </c>
      <c r="J339" s="3">
        <v>7181</v>
      </c>
      <c r="K339" s="3">
        <v>194</v>
      </c>
      <c r="L339" s="3">
        <v>34</v>
      </c>
      <c r="M339" s="3">
        <v>18</v>
      </c>
      <c r="N339" s="3">
        <v>32</v>
      </c>
      <c r="O339" s="3">
        <v>87</v>
      </c>
      <c r="P339" s="3"/>
      <c r="Q339" s="3">
        <v>278</v>
      </c>
      <c r="R339" s="4">
        <v>3.87</v>
      </c>
      <c r="S339" s="6">
        <f>GlowNestSocialTable[[#This Row],[Link Clicks]]/GlowNestSocialTable[[#This Row],[Reach]]</f>
        <v>1.211530427517059E-2</v>
      </c>
    </row>
    <row r="340" spans="1:19">
      <c r="A340" t="s">
        <v>375</v>
      </c>
      <c r="B340" s="2">
        <v>45862</v>
      </c>
      <c r="C340" t="s">
        <v>19</v>
      </c>
      <c r="D340" t="s">
        <v>30</v>
      </c>
      <c r="E340" t="s">
        <v>25</v>
      </c>
      <c r="F340" t="s">
        <v>31</v>
      </c>
      <c r="G340" t="s">
        <v>23</v>
      </c>
      <c r="H340" s="3">
        <v>72530</v>
      </c>
      <c r="I340" s="3">
        <v>26985</v>
      </c>
      <c r="J340" s="3">
        <v>20539</v>
      </c>
      <c r="K340" s="3">
        <v>354</v>
      </c>
      <c r="L340" s="3">
        <v>61</v>
      </c>
      <c r="M340" s="3">
        <v>41</v>
      </c>
      <c r="N340" s="3">
        <v>35</v>
      </c>
      <c r="O340" s="3">
        <v>128</v>
      </c>
      <c r="P340" s="3"/>
      <c r="Q340" s="3">
        <v>491</v>
      </c>
      <c r="R340" s="4">
        <v>2.39</v>
      </c>
      <c r="S340" s="6">
        <f>GlowNestSocialTable[[#This Row],[Link Clicks]]/GlowNestSocialTable[[#This Row],[Reach]]</f>
        <v>6.2320463508447341E-3</v>
      </c>
    </row>
    <row r="341" spans="1:19">
      <c r="A341" t="s">
        <v>376</v>
      </c>
      <c r="B341" s="2">
        <v>45862</v>
      </c>
      <c r="C341" t="s">
        <v>36</v>
      </c>
      <c r="D341" t="s">
        <v>30</v>
      </c>
      <c r="E341" t="s">
        <v>49</v>
      </c>
      <c r="F341" t="s">
        <v>22</v>
      </c>
      <c r="G341" t="s">
        <v>23</v>
      </c>
      <c r="H341" s="3">
        <v>87156</v>
      </c>
      <c r="I341" s="3">
        <v>39581</v>
      </c>
      <c r="J341" s="3">
        <v>26820</v>
      </c>
      <c r="K341" s="3">
        <v>340</v>
      </c>
      <c r="L341" s="3">
        <v>42</v>
      </c>
      <c r="M341" s="3">
        <v>45</v>
      </c>
      <c r="N341" s="3">
        <v>62</v>
      </c>
      <c r="O341" s="3">
        <v>86</v>
      </c>
      <c r="P341" s="3"/>
      <c r="Q341" s="3">
        <v>489</v>
      </c>
      <c r="R341" s="4">
        <v>1.82</v>
      </c>
      <c r="S341" s="6">
        <f>GlowNestSocialTable[[#This Row],[Link Clicks]]/GlowNestSocialTable[[#This Row],[Reach]]</f>
        <v>3.2065622669649515E-3</v>
      </c>
    </row>
    <row r="342" spans="1:19">
      <c r="A342" t="s">
        <v>377</v>
      </c>
      <c r="B342" s="2">
        <v>45863</v>
      </c>
      <c r="C342" t="s">
        <v>19</v>
      </c>
      <c r="D342" t="s">
        <v>30</v>
      </c>
      <c r="E342" t="s">
        <v>27</v>
      </c>
      <c r="F342" t="s">
        <v>42</v>
      </c>
      <c r="G342" t="s">
        <v>38</v>
      </c>
      <c r="H342" s="3">
        <v>72421</v>
      </c>
      <c r="I342" s="3">
        <v>67322</v>
      </c>
      <c r="J342" s="3">
        <v>47030</v>
      </c>
      <c r="K342" s="3">
        <v>1364</v>
      </c>
      <c r="L342" s="3">
        <v>273</v>
      </c>
      <c r="M342" s="3">
        <v>150</v>
      </c>
      <c r="N342" s="3">
        <v>411</v>
      </c>
      <c r="O342" s="3">
        <v>410</v>
      </c>
      <c r="P342" s="3"/>
      <c r="Q342" s="3">
        <v>2198</v>
      </c>
      <c r="R342" s="4">
        <v>4.67</v>
      </c>
      <c r="S342" s="6">
        <f>GlowNestSocialTable[[#This Row],[Link Clicks]]/GlowNestSocialTable[[#This Row],[Reach]]</f>
        <v>8.7178396768020413E-3</v>
      </c>
    </row>
    <row r="343" spans="1:19">
      <c r="A343" t="s">
        <v>378</v>
      </c>
      <c r="B343" s="2">
        <v>45864</v>
      </c>
      <c r="C343" t="s">
        <v>33</v>
      </c>
      <c r="D343" t="s">
        <v>34</v>
      </c>
      <c r="E343" t="s">
        <v>27</v>
      </c>
      <c r="F343" t="s">
        <v>22</v>
      </c>
      <c r="G343" t="s">
        <v>23</v>
      </c>
      <c r="H343" s="3">
        <v>32629</v>
      </c>
      <c r="I343" s="3">
        <v>8279</v>
      </c>
      <c r="J343" s="3">
        <v>5473</v>
      </c>
      <c r="K343" s="3">
        <v>142</v>
      </c>
      <c r="L343" s="3">
        <v>16</v>
      </c>
      <c r="M343" s="3">
        <v>15</v>
      </c>
      <c r="N343" s="3">
        <v>17</v>
      </c>
      <c r="O343" s="3">
        <v>85</v>
      </c>
      <c r="P343" s="3"/>
      <c r="Q343" s="3">
        <v>190</v>
      </c>
      <c r="R343" s="4">
        <v>3.47</v>
      </c>
      <c r="S343" s="6">
        <f>GlowNestSocialTable[[#This Row],[Link Clicks]]/GlowNestSocialTable[[#This Row],[Reach]]</f>
        <v>1.5530787502283939E-2</v>
      </c>
    </row>
    <row r="344" spans="1:19">
      <c r="A344" t="s">
        <v>379</v>
      </c>
      <c r="B344" s="2">
        <v>45864</v>
      </c>
      <c r="C344" t="s">
        <v>36</v>
      </c>
      <c r="D344" t="s">
        <v>34</v>
      </c>
      <c r="E344" t="s">
        <v>27</v>
      </c>
      <c r="F344" t="s">
        <v>28</v>
      </c>
      <c r="G344" t="s">
        <v>23</v>
      </c>
      <c r="H344" s="3">
        <v>86516</v>
      </c>
      <c r="I344" s="3">
        <v>32075</v>
      </c>
      <c r="J344" s="3">
        <v>27740</v>
      </c>
      <c r="K344" s="3">
        <v>336</v>
      </c>
      <c r="L344" s="3">
        <v>38</v>
      </c>
      <c r="M344" s="3">
        <v>40</v>
      </c>
      <c r="N344" s="3">
        <v>75</v>
      </c>
      <c r="O344" s="3">
        <v>172</v>
      </c>
      <c r="P344" s="3"/>
      <c r="Q344" s="3">
        <v>489</v>
      </c>
      <c r="R344" s="4">
        <v>1.76</v>
      </c>
      <c r="S344" s="6">
        <f>GlowNestSocialTable[[#This Row],[Link Clicks]]/GlowNestSocialTable[[#This Row],[Reach]]</f>
        <v>6.2004325883201154E-3</v>
      </c>
    </row>
    <row r="345" spans="1:19">
      <c r="A345" t="s">
        <v>380</v>
      </c>
      <c r="B345" s="2">
        <v>45865</v>
      </c>
      <c r="C345" t="s">
        <v>36</v>
      </c>
      <c r="D345" t="s">
        <v>20</v>
      </c>
      <c r="E345" t="s">
        <v>25</v>
      </c>
      <c r="F345" t="s">
        <v>28</v>
      </c>
      <c r="G345" t="s">
        <v>23</v>
      </c>
      <c r="H345" s="3">
        <v>85433</v>
      </c>
      <c r="I345" s="3">
        <v>60084</v>
      </c>
      <c r="J345" s="3">
        <v>46598</v>
      </c>
      <c r="K345" s="3">
        <v>498</v>
      </c>
      <c r="L345" s="3">
        <v>78</v>
      </c>
      <c r="M345" s="3">
        <v>60</v>
      </c>
      <c r="N345" s="3">
        <v>127</v>
      </c>
      <c r="O345" s="3">
        <v>149</v>
      </c>
      <c r="P345" s="3">
        <v>31730</v>
      </c>
      <c r="Q345" s="3">
        <v>763</v>
      </c>
      <c r="R345" s="4">
        <v>1.64</v>
      </c>
      <c r="S345" s="6">
        <f>GlowNestSocialTable[[#This Row],[Link Clicks]]/GlowNestSocialTable[[#This Row],[Reach]]</f>
        <v>3.1975621271299196E-3</v>
      </c>
    </row>
    <row r="346" spans="1:19">
      <c r="A346" t="s">
        <v>381</v>
      </c>
      <c r="B346" s="2">
        <v>45865</v>
      </c>
      <c r="C346" t="s">
        <v>33</v>
      </c>
      <c r="D346" t="s">
        <v>37</v>
      </c>
      <c r="E346" t="s">
        <v>27</v>
      </c>
      <c r="F346" t="s">
        <v>44</v>
      </c>
      <c r="G346" t="s">
        <v>23</v>
      </c>
      <c r="H346" s="3">
        <v>35048</v>
      </c>
      <c r="I346" s="3">
        <v>13310</v>
      </c>
      <c r="J346" s="3">
        <v>10161</v>
      </c>
      <c r="K346" s="3">
        <v>385</v>
      </c>
      <c r="L346" s="3">
        <v>62</v>
      </c>
      <c r="M346" s="3">
        <v>40</v>
      </c>
      <c r="N346" s="3">
        <v>111</v>
      </c>
      <c r="O346" s="3">
        <v>184</v>
      </c>
      <c r="P346" s="3"/>
      <c r="Q346" s="3">
        <v>598</v>
      </c>
      <c r="R346" s="4">
        <v>5.89</v>
      </c>
      <c r="S346" s="6">
        <f>GlowNestSocialTable[[#This Row],[Link Clicks]]/GlowNestSocialTable[[#This Row],[Reach]]</f>
        <v>1.8108453892333433E-2</v>
      </c>
    </row>
    <row r="347" spans="1:19">
      <c r="A347" t="s">
        <v>382</v>
      </c>
      <c r="B347" s="2">
        <v>45866</v>
      </c>
      <c r="C347" t="s">
        <v>36</v>
      </c>
      <c r="D347" t="s">
        <v>37</v>
      </c>
      <c r="E347" t="s">
        <v>46</v>
      </c>
      <c r="F347" t="s">
        <v>42</v>
      </c>
      <c r="G347" t="s">
        <v>23</v>
      </c>
      <c r="H347" s="3">
        <v>88369</v>
      </c>
      <c r="I347" s="3">
        <v>48993</v>
      </c>
      <c r="J347" s="3">
        <v>44754</v>
      </c>
      <c r="K347" s="3">
        <v>869</v>
      </c>
      <c r="L347" s="3">
        <v>154</v>
      </c>
      <c r="M347" s="3">
        <v>89</v>
      </c>
      <c r="N347" s="3">
        <v>208</v>
      </c>
      <c r="O347" s="3">
        <v>214</v>
      </c>
      <c r="P347" s="3"/>
      <c r="Q347" s="3">
        <v>1320</v>
      </c>
      <c r="R347" s="4">
        <v>2.95</v>
      </c>
      <c r="S347" s="6">
        <f>GlowNestSocialTable[[#This Row],[Link Clicks]]/GlowNestSocialTable[[#This Row],[Reach]]</f>
        <v>4.781695490905841E-3</v>
      </c>
    </row>
    <row r="348" spans="1:19">
      <c r="A348" t="s">
        <v>383</v>
      </c>
      <c r="B348" s="2">
        <v>45867</v>
      </c>
      <c r="C348" t="s">
        <v>33</v>
      </c>
      <c r="D348" t="s">
        <v>30</v>
      </c>
      <c r="E348" t="s">
        <v>27</v>
      </c>
      <c r="F348" t="s">
        <v>44</v>
      </c>
      <c r="G348" t="s">
        <v>38</v>
      </c>
      <c r="H348" s="3">
        <v>33938</v>
      </c>
      <c r="I348" s="3">
        <v>12485</v>
      </c>
      <c r="J348" s="3">
        <v>9969</v>
      </c>
      <c r="K348" s="3">
        <v>257</v>
      </c>
      <c r="L348" s="3">
        <v>48</v>
      </c>
      <c r="M348" s="3">
        <v>32</v>
      </c>
      <c r="N348" s="3">
        <v>37</v>
      </c>
      <c r="O348" s="3">
        <v>152</v>
      </c>
      <c r="P348" s="3"/>
      <c r="Q348" s="3">
        <v>374</v>
      </c>
      <c r="R348" s="4">
        <v>3.75</v>
      </c>
      <c r="S348" s="6">
        <f>GlowNestSocialTable[[#This Row],[Link Clicks]]/GlowNestSocialTable[[#This Row],[Reach]]</f>
        <v>1.5247266526231318E-2</v>
      </c>
    </row>
    <row r="349" spans="1:19">
      <c r="A349" t="s">
        <v>384</v>
      </c>
      <c r="B349" s="2">
        <v>45867</v>
      </c>
      <c r="C349" t="s">
        <v>19</v>
      </c>
      <c r="D349" t="s">
        <v>37</v>
      </c>
      <c r="E349" t="s">
        <v>49</v>
      </c>
      <c r="F349" t="s">
        <v>22</v>
      </c>
      <c r="G349" t="s">
        <v>23</v>
      </c>
      <c r="H349" s="3">
        <v>71218</v>
      </c>
      <c r="I349" s="3">
        <v>38730</v>
      </c>
      <c r="J349" s="3">
        <v>26460</v>
      </c>
      <c r="K349" s="3">
        <v>941</v>
      </c>
      <c r="L349" s="3">
        <v>107</v>
      </c>
      <c r="M349" s="3">
        <v>131</v>
      </c>
      <c r="N349" s="3">
        <v>240</v>
      </c>
      <c r="O349" s="3">
        <v>215</v>
      </c>
      <c r="P349" s="3"/>
      <c r="Q349" s="3">
        <v>1419</v>
      </c>
      <c r="R349" s="4">
        <v>5.36</v>
      </c>
      <c r="S349" s="6">
        <f>GlowNestSocialTable[[#This Row],[Link Clicks]]/GlowNestSocialTable[[#This Row],[Reach]]</f>
        <v>8.1254724111866974E-3</v>
      </c>
    </row>
    <row r="350" spans="1:19">
      <c r="A350" t="s">
        <v>385</v>
      </c>
      <c r="B350" s="2">
        <v>45868</v>
      </c>
      <c r="C350" t="s">
        <v>19</v>
      </c>
      <c r="D350" t="s">
        <v>20</v>
      </c>
      <c r="E350" t="s">
        <v>27</v>
      </c>
      <c r="F350" t="s">
        <v>44</v>
      </c>
      <c r="G350" t="s">
        <v>23</v>
      </c>
      <c r="H350" s="3">
        <v>74882</v>
      </c>
      <c r="I350" s="3">
        <v>35448</v>
      </c>
      <c r="J350" s="3">
        <v>28848</v>
      </c>
      <c r="K350" s="3">
        <v>1397</v>
      </c>
      <c r="L350" s="3">
        <v>215</v>
      </c>
      <c r="M350" s="3">
        <v>176</v>
      </c>
      <c r="N350" s="3">
        <v>826</v>
      </c>
      <c r="O350" s="3">
        <v>346</v>
      </c>
      <c r="P350" s="3">
        <v>16228</v>
      </c>
      <c r="Q350" s="3">
        <v>2614</v>
      </c>
      <c r="R350" s="4">
        <v>9.06</v>
      </c>
      <c r="S350" s="6">
        <f>GlowNestSocialTable[[#This Row],[Link Clicks]]/GlowNestSocialTable[[#This Row],[Reach]]</f>
        <v>1.199389905712701E-2</v>
      </c>
    </row>
    <row r="351" spans="1:19">
      <c r="A351" t="s">
        <v>386</v>
      </c>
      <c r="B351" s="2">
        <v>45868</v>
      </c>
      <c r="C351" t="s">
        <v>36</v>
      </c>
      <c r="D351" t="s">
        <v>37</v>
      </c>
      <c r="E351" t="s">
        <v>49</v>
      </c>
      <c r="F351" t="s">
        <v>22</v>
      </c>
      <c r="G351" t="s">
        <v>23</v>
      </c>
      <c r="H351" s="3">
        <v>87379</v>
      </c>
      <c r="I351" s="3">
        <v>64208</v>
      </c>
      <c r="J351" s="3">
        <v>45691</v>
      </c>
      <c r="K351" s="3">
        <v>896</v>
      </c>
      <c r="L351" s="3">
        <v>91</v>
      </c>
      <c r="M351" s="3">
        <v>116</v>
      </c>
      <c r="N351" s="3">
        <v>231</v>
      </c>
      <c r="O351" s="3">
        <v>166</v>
      </c>
      <c r="P351" s="3"/>
      <c r="Q351" s="3">
        <v>1334</v>
      </c>
      <c r="R351" s="4">
        <v>2.92</v>
      </c>
      <c r="S351" s="6">
        <f>GlowNestSocialTable[[#This Row],[Link Clicks]]/GlowNestSocialTable[[#This Row],[Reach]]</f>
        <v>3.6331006106235363E-3</v>
      </c>
    </row>
    <row r="352" spans="1:19">
      <c r="A352" t="s">
        <v>387</v>
      </c>
      <c r="B352" s="2">
        <v>45869</v>
      </c>
      <c r="C352" t="s">
        <v>19</v>
      </c>
      <c r="D352" t="s">
        <v>30</v>
      </c>
      <c r="E352" t="s">
        <v>49</v>
      </c>
      <c r="F352" t="s">
        <v>28</v>
      </c>
      <c r="G352" t="s">
        <v>23</v>
      </c>
      <c r="H352" s="3">
        <v>74287</v>
      </c>
      <c r="I352" s="3">
        <v>28083</v>
      </c>
      <c r="J352" s="3">
        <v>21800</v>
      </c>
      <c r="K352" s="3">
        <v>737</v>
      </c>
      <c r="L352" s="3">
        <v>83</v>
      </c>
      <c r="M352" s="3">
        <v>108</v>
      </c>
      <c r="N352" s="3">
        <v>86</v>
      </c>
      <c r="O352" s="3">
        <v>179</v>
      </c>
      <c r="P352" s="3"/>
      <c r="Q352" s="3">
        <v>1014</v>
      </c>
      <c r="R352" s="4">
        <v>4.6500000000000004</v>
      </c>
      <c r="S352" s="6">
        <f>GlowNestSocialTable[[#This Row],[Link Clicks]]/GlowNestSocialTable[[#This Row],[Reach]]</f>
        <v>8.211009174311926E-3</v>
      </c>
    </row>
    <row r="353" spans="1:19">
      <c r="A353" t="s">
        <v>388</v>
      </c>
      <c r="B353" s="2">
        <v>45870</v>
      </c>
      <c r="C353" t="s">
        <v>36</v>
      </c>
      <c r="D353" t="s">
        <v>30</v>
      </c>
      <c r="E353" t="s">
        <v>49</v>
      </c>
      <c r="F353" t="s">
        <v>28</v>
      </c>
      <c r="G353" t="s">
        <v>23</v>
      </c>
      <c r="H353" s="3">
        <v>87322</v>
      </c>
      <c r="I353" s="3">
        <v>32146</v>
      </c>
      <c r="J353" s="3">
        <v>28278</v>
      </c>
      <c r="K353" s="3">
        <v>334</v>
      </c>
      <c r="L353" s="3">
        <v>46</v>
      </c>
      <c r="M353" s="3">
        <v>37</v>
      </c>
      <c r="N353" s="3">
        <v>44</v>
      </c>
      <c r="O353" s="3">
        <v>102</v>
      </c>
      <c r="P353" s="3"/>
      <c r="Q353" s="3">
        <v>461</v>
      </c>
      <c r="R353" s="4">
        <v>1.63</v>
      </c>
      <c r="S353" s="6">
        <f>GlowNestSocialTable[[#This Row],[Link Clicks]]/GlowNestSocialTable[[#This Row],[Reach]]</f>
        <v>3.607044345427541E-3</v>
      </c>
    </row>
    <row r="354" spans="1:19">
      <c r="A354" t="s">
        <v>389</v>
      </c>
      <c r="B354" s="2">
        <v>45870</v>
      </c>
      <c r="C354" t="s">
        <v>33</v>
      </c>
      <c r="D354" t="s">
        <v>30</v>
      </c>
      <c r="E354" t="s">
        <v>49</v>
      </c>
      <c r="F354" t="s">
        <v>22</v>
      </c>
      <c r="G354" t="s">
        <v>23</v>
      </c>
      <c r="H354" s="3">
        <v>34613</v>
      </c>
      <c r="I354" s="3">
        <v>10899</v>
      </c>
      <c r="J354" s="3">
        <v>8170</v>
      </c>
      <c r="K354" s="3">
        <v>194</v>
      </c>
      <c r="L354" s="3">
        <v>34</v>
      </c>
      <c r="M354" s="3">
        <v>19</v>
      </c>
      <c r="N354" s="3">
        <v>26</v>
      </c>
      <c r="O354" s="3">
        <v>81</v>
      </c>
      <c r="P354" s="3"/>
      <c r="Q354" s="3">
        <v>273</v>
      </c>
      <c r="R354" s="4">
        <v>3.34</v>
      </c>
      <c r="S354" s="6">
        <f>GlowNestSocialTable[[#This Row],[Link Clicks]]/GlowNestSocialTable[[#This Row],[Reach]]</f>
        <v>9.9143206854345172E-3</v>
      </c>
    </row>
    <row r="355" spans="1:19">
      <c r="A355" t="s">
        <v>390</v>
      </c>
      <c r="B355" s="2">
        <v>45871</v>
      </c>
      <c r="C355" t="s">
        <v>33</v>
      </c>
      <c r="D355" t="s">
        <v>34</v>
      </c>
      <c r="E355" t="s">
        <v>49</v>
      </c>
      <c r="F355" t="s">
        <v>42</v>
      </c>
      <c r="G355" t="s">
        <v>23</v>
      </c>
      <c r="H355" s="3">
        <v>32824</v>
      </c>
      <c r="I355" s="3">
        <v>6597</v>
      </c>
      <c r="J355" s="3">
        <v>5934</v>
      </c>
      <c r="K355" s="3">
        <v>146</v>
      </c>
      <c r="L355" s="3">
        <v>26</v>
      </c>
      <c r="M355" s="3">
        <v>13</v>
      </c>
      <c r="N355" s="3">
        <v>11</v>
      </c>
      <c r="O355" s="3">
        <v>86</v>
      </c>
      <c r="P355" s="3"/>
      <c r="Q355" s="3">
        <v>196</v>
      </c>
      <c r="R355" s="4">
        <v>3.3</v>
      </c>
      <c r="S355" s="6">
        <f>GlowNestSocialTable[[#This Row],[Link Clicks]]/GlowNestSocialTable[[#This Row],[Reach]]</f>
        <v>1.4492753623188406E-2</v>
      </c>
    </row>
    <row r="356" spans="1:19">
      <c r="A356" t="s">
        <v>391</v>
      </c>
      <c r="B356" s="2">
        <v>45871</v>
      </c>
      <c r="C356" t="s">
        <v>19</v>
      </c>
      <c r="D356" t="s">
        <v>30</v>
      </c>
      <c r="E356" t="s">
        <v>21</v>
      </c>
      <c r="F356" t="s">
        <v>42</v>
      </c>
      <c r="G356" t="s">
        <v>23</v>
      </c>
      <c r="H356" s="3">
        <v>71203</v>
      </c>
      <c r="I356" s="3">
        <v>32303</v>
      </c>
      <c r="J356" s="3">
        <v>24804</v>
      </c>
      <c r="K356" s="3">
        <v>904</v>
      </c>
      <c r="L356" s="3">
        <v>115</v>
      </c>
      <c r="M356" s="3">
        <v>89</v>
      </c>
      <c r="N356" s="3">
        <v>193</v>
      </c>
      <c r="O356" s="3">
        <v>291</v>
      </c>
      <c r="P356" s="3"/>
      <c r="Q356" s="3">
        <v>1301</v>
      </c>
      <c r="R356" s="4">
        <v>5.25</v>
      </c>
      <c r="S356" s="6">
        <f>GlowNestSocialTable[[#This Row],[Link Clicks]]/GlowNestSocialTable[[#This Row],[Reach]]</f>
        <v>1.1731978713110788E-2</v>
      </c>
    </row>
    <row r="357" spans="1:19">
      <c r="A357" t="s">
        <v>392</v>
      </c>
      <c r="B357" s="2">
        <v>45872</v>
      </c>
      <c r="C357" t="s">
        <v>33</v>
      </c>
      <c r="D357" t="s">
        <v>30</v>
      </c>
      <c r="E357" t="s">
        <v>27</v>
      </c>
      <c r="F357" t="s">
        <v>28</v>
      </c>
      <c r="G357" t="s">
        <v>23</v>
      </c>
      <c r="H357" s="3">
        <v>35483</v>
      </c>
      <c r="I357" s="3">
        <v>12957</v>
      </c>
      <c r="J357" s="3">
        <v>9311</v>
      </c>
      <c r="K357" s="3">
        <v>296</v>
      </c>
      <c r="L357" s="3">
        <v>41</v>
      </c>
      <c r="M357" s="3">
        <v>38</v>
      </c>
      <c r="N357" s="3">
        <v>84</v>
      </c>
      <c r="O357" s="3">
        <v>128</v>
      </c>
      <c r="P357" s="3"/>
      <c r="Q357" s="3">
        <v>459</v>
      </c>
      <c r="R357" s="4">
        <v>4.93</v>
      </c>
      <c r="S357" s="6">
        <f>GlowNestSocialTable[[#This Row],[Link Clicks]]/GlowNestSocialTable[[#This Row],[Reach]]</f>
        <v>1.3747180753946944E-2</v>
      </c>
    </row>
    <row r="358" spans="1:19">
      <c r="A358" t="s">
        <v>393</v>
      </c>
      <c r="B358" s="2">
        <v>45873</v>
      </c>
      <c r="C358" t="s">
        <v>19</v>
      </c>
      <c r="D358" t="s">
        <v>30</v>
      </c>
      <c r="E358" t="s">
        <v>25</v>
      </c>
      <c r="F358" t="s">
        <v>28</v>
      </c>
      <c r="G358" t="s">
        <v>23</v>
      </c>
      <c r="H358" s="3">
        <v>72741</v>
      </c>
      <c r="I358" s="3">
        <v>23825</v>
      </c>
      <c r="J358" s="3">
        <v>19177</v>
      </c>
      <c r="K358" s="3">
        <v>435</v>
      </c>
      <c r="L358" s="3">
        <v>86</v>
      </c>
      <c r="M358" s="3">
        <v>52</v>
      </c>
      <c r="N358" s="3">
        <v>53</v>
      </c>
      <c r="O358" s="3">
        <v>154</v>
      </c>
      <c r="P358" s="3"/>
      <c r="Q358" s="3">
        <v>626</v>
      </c>
      <c r="R358" s="4">
        <v>3.26</v>
      </c>
      <c r="S358" s="6">
        <f>GlowNestSocialTable[[#This Row],[Link Clicks]]/GlowNestSocialTable[[#This Row],[Reach]]</f>
        <v>8.0304531469990101E-3</v>
      </c>
    </row>
    <row r="359" spans="1:19">
      <c r="A359" t="s">
        <v>394</v>
      </c>
      <c r="B359" s="2">
        <v>45873</v>
      </c>
      <c r="C359" t="s">
        <v>33</v>
      </c>
      <c r="D359" t="s">
        <v>37</v>
      </c>
      <c r="E359" t="s">
        <v>27</v>
      </c>
      <c r="F359" t="s">
        <v>22</v>
      </c>
      <c r="G359" t="s">
        <v>38</v>
      </c>
      <c r="H359" s="3">
        <v>33330</v>
      </c>
      <c r="I359" s="3">
        <v>17466</v>
      </c>
      <c r="J359" s="3">
        <v>11276</v>
      </c>
      <c r="K359" s="3">
        <v>363</v>
      </c>
      <c r="L359" s="3">
        <v>45</v>
      </c>
      <c r="M359" s="3">
        <v>47</v>
      </c>
      <c r="N359" s="3">
        <v>154</v>
      </c>
      <c r="O359" s="3">
        <v>174</v>
      </c>
      <c r="P359" s="3"/>
      <c r="Q359" s="3">
        <v>609</v>
      </c>
      <c r="R359" s="4">
        <v>5.4</v>
      </c>
      <c r="S359" s="6">
        <f>GlowNestSocialTable[[#This Row],[Link Clicks]]/GlowNestSocialTable[[#This Row],[Reach]]</f>
        <v>1.5431003902092941E-2</v>
      </c>
    </row>
    <row r="360" spans="1:19">
      <c r="A360" t="s">
        <v>395</v>
      </c>
      <c r="B360" s="2">
        <v>45874</v>
      </c>
      <c r="C360" t="s">
        <v>36</v>
      </c>
      <c r="D360" t="s">
        <v>34</v>
      </c>
      <c r="E360" t="s">
        <v>25</v>
      </c>
      <c r="F360" t="s">
        <v>44</v>
      </c>
      <c r="G360" t="s">
        <v>23</v>
      </c>
      <c r="H360" s="3">
        <v>87540</v>
      </c>
      <c r="I360" s="3">
        <v>34767</v>
      </c>
      <c r="J360" s="3">
        <v>25494</v>
      </c>
      <c r="K360" s="3">
        <v>226</v>
      </c>
      <c r="L360" s="3">
        <v>39</v>
      </c>
      <c r="M360" s="3">
        <v>27</v>
      </c>
      <c r="N360" s="3">
        <v>20</v>
      </c>
      <c r="O360" s="3">
        <v>112</v>
      </c>
      <c r="P360" s="3"/>
      <c r="Q360" s="3">
        <v>312</v>
      </c>
      <c r="R360" s="4">
        <v>1.22</v>
      </c>
      <c r="S360" s="6">
        <f>GlowNestSocialTable[[#This Row],[Link Clicks]]/GlowNestSocialTable[[#This Row],[Reach]]</f>
        <v>4.3931905546403076E-3</v>
      </c>
    </row>
    <row r="361" spans="1:19">
      <c r="A361" t="s">
        <v>396</v>
      </c>
      <c r="B361" s="2">
        <v>45874</v>
      </c>
      <c r="C361" t="s">
        <v>36</v>
      </c>
      <c r="D361" t="s">
        <v>30</v>
      </c>
      <c r="E361" t="s">
        <v>49</v>
      </c>
      <c r="F361" t="s">
        <v>44</v>
      </c>
      <c r="G361" t="s">
        <v>23</v>
      </c>
      <c r="H361" s="3">
        <v>86357</v>
      </c>
      <c r="I361" s="3">
        <v>49046</v>
      </c>
      <c r="J361" s="3">
        <v>41551</v>
      </c>
      <c r="K361" s="3">
        <v>640</v>
      </c>
      <c r="L361" s="3">
        <v>81</v>
      </c>
      <c r="M361" s="3">
        <v>101</v>
      </c>
      <c r="N361" s="3">
        <v>70</v>
      </c>
      <c r="O361" s="3">
        <v>119</v>
      </c>
      <c r="P361" s="3"/>
      <c r="Q361" s="3">
        <v>892</v>
      </c>
      <c r="R361" s="4">
        <v>2.15</v>
      </c>
      <c r="S361" s="6">
        <f>GlowNestSocialTable[[#This Row],[Link Clicks]]/GlowNestSocialTable[[#This Row],[Reach]]</f>
        <v>2.8639503261052683E-3</v>
      </c>
    </row>
    <row r="362" spans="1:19">
      <c r="A362" t="s">
        <v>397</v>
      </c>
      <c r="B362" s="2">
        <v>45875</v>
      </c>
      <c r="C362" t="s">
        <v>19</v>
      </c>
      <c r="D362" t="s">
        <v>37</v>
      </c>
      <c r="E362" t="s">
        <v>49</v>
      </c>
      <c r="F362" t="s">
        <v>42</v>
      </c>
      <c r="G362" t="s">
        <v>23</v>
      </c>
      <c r="H362" s="3">
        <v>73792</v>
      </c>
      <c r="I362" s="3">
        <v>40070</v>
      </c>
      <c r="J362" s="3">
        <v>30291</v>
      </c>
      <c r="K362" s="3">
        <v>1120</v>
      </c>
      <c r="L362" s="3">
        <v>141</v>
      </c>
      <c r="M362" s="3">
        <v>112</v>
      </c>
      <c r="N362" s="3">
        <v>282</v>
      </c>
      <c r="O362" s="3">
        <v>328</v>
      </c>
      <c r="P362" s="3"/>
      <c r="Q362" s="3">
        <v>1655</v>
      </c>
      <c r="R362" s="4">
        <v>5.46</v>
      </c>
      <c r="S362" s="6">
        <f>GlowNestSocialTable[[#This Row],[Link Clicks]]/GlowNestSocialTable[[#This Row],[Reach]]</f>
        <v>1.0828298834637351E-2</v>
      </c>
    </row>
    <row r="363" spans="1:19">
      <c r="A363" t="s">
        <v>398</v>
      </c>
      <c r="B363" s="2">
        <v>45876</v>
      </c>
      <c r="C363" t="s">
        <v>19</v>
      </c>
      <c r="D363" t="s">
        <v>20</v>
      </c>
      <c r="E363" t="s">
        <v>27</v>
      </c>
      <c r="F363" t="s">
        <v>28</v>
      </c>
      <c r="G363" t="s">
        <v>23</v>
      </c>
      <c r="H363" s="3">
        <v>72441</v>
      </c>
      <c r="I363" s="3">
        <v>32894</v>
      </c>
      <c r="J363" s="3">
        <v>28207</v>
      </c>
      <c r="K363" s="3">
        <v>1599</v>
      </c>
      <c r="L363" s="3">
        <v>211</v>
      </c>
      <c r="M363" s="3">
        <v>284</v>
      </c>
      <c r="N363" s="3">
        <v>577</v>
      </c>
      <c r="O363" s="3">
        <v>387</v>
      </c>
      <c r="P363" s="3">
        <v>23151</v>
      </c>
      <c r="Q363" s="3">
        <v>2671</v>
      </c>
      <c r="R363" s="4">
        <v>9.4700000000000006</v>
      </c>
      <c r="S363" s="6">
        <f>GlowNestSocialTable[[#This Row],[Link Clicks]]/GlowNestSocialTable[[#This Row],[Reach]]</f>
        <v>1.3719998581912292E-2</v>
      </c>
    </row>
    <row r="364" spans="1:19">
      <c r="A364" t="s">
        <v>399</v>
      </c>
      <c r="B364" s="2">
        <v>45876</v>
      </c>
      <c r="C364" t="s">
        <v>19</v>
      </c>
      <c r="D364" t="s">
        <v>20</v>
      </c>
      <c r="E364" t="s">
        <v>46</v>
      </c>
      <c r="F364" t="s">
        <v>42</v>
      </c>
      <c r="G364" t="s">
        <v>23</v>
      </c>
      <c r="H364" s="3">
        <v>72581</v>
      </c>
      <c r="I364" s="3">
        <v>38244</v>
      </c>
      <c r="J364" s="3">
        <v>27223</v>
      </c>
      <c r="K364" s="3">
        <v>1423</v>
      </c>
      <c r="L364" s="3">
        <v>184</v>
      </c>
      <c r="M364" s="3">
        <v>158</v>
      </c>
      <c r="N364" s="3">
        <v>190</v>
      </c>
      <c r="O364" s="3">
        <v>420</v>
      </c>
      <c r="P364" s="3">
        <v>19941</v>
      </c>
      <c r="Q364" s="3">
        <v>1955</v>
      </c>
      <c r="R364" s="4">
        <v>7.18</v>
      </c>
      <c r="S364" s="6">
        <f>GlowNestSocialTable[[#This Row],[Link Clicks]]/GlowNestSocialTable[[#This Row],[Reach]]</f>
        <v>1.542813062483929E-2</v>
      </c>
    </row>
    <row r="365" spans="1:19">
      <c r="A365" t="s">
        <v>400</v>
      </c>
      <c r="B365" s="2">
        <v>45877</v>
      </c>
      <c r="C365" t="s">
        <v>19</v>
      </c>
      <c r="D365" t="s">
        <v>20</v>
      </c>
      <c r="E365" t="s">
        <v>49</v>
      </c>
      <c r="F365" t="s">
        <v>22</v>
      </c>
      <c r="G365" t="s">
        <v>23</v>
      </c>
      <c r="H365" s="3">
        <v>72247</v>
      </c>
      <c r="I365" s="3">
        <v>34029</v>
      </c>
      <c r="J365" s="3">
        <v>27259</v>
      </c>
      <c r="K365" s="3">
        <v>1374</v>
      </c>
      <c r="L365" s="3">
        <v>164</v>
      </c>
      <c r="M365" s="3">
        <v>220</v>
      </c>
      <c r="N365" s="3">
        <v>425</v>
      </c>
      <c r="O365" s="3">
        <v>184</v>
      </c>
      <c r="P365" s="3">
        <v>20179</v>
      </c>
      <c r="Q365" s="3">
        <v>2183</v>
      </c>
      <c r="R365" s="4">
        <v>8.01</v>
      </c>
      <c r="S365" s="6">
        <f>GlowNestSocialTable[[#This Row],[Link Clicks]]/GlowNestSocialTable[[#This Row],[Reach]]</f>
        <v>6.7500641989801536E-3</v>
      </c>
    </row>
    <row r="366" spans="1:19">
      <c r="A366" t="s">
        <v>401</v>
      </c>
      <c r="B366" s="2">
        <v>45877</v>
      </c>
      <c r="C366" t="s">
        <v>36</v>
      </c>
      <c r="D366" t="s">
        <v>20</v>
      </c>
      <c r="E366" t="s">
        <v>25</v>
      </c>
      <c r="F366" t="s">
        <v>22</v>
      </c>
      <c r="G366" t="s">
        <v>38</v>
      </c>
      <c r="H366" s="3">
        <v>87448</v>
      </c>
      <c r="I366" s="3">
        <v>96663</v>
      </c>
      <c r="J366" s="3">
        <v>85421</v>
      </c>
      <c r="K366" s="3">
        <v>1287</v>
      </c>
      <c r="L366" s="3">
        <v>173</v>
      </c>
      <c r="M366" s="3">
        <v>186</v>
      </c>
      <c r="N366" s="3">
        <v>82</v>
      </c>
      <c r="O366" s="3">
        <v>389</v>
      </c>
      <c r="P366" s="3">
        <v>60804</v>
      </c>
      <c r="Q366" s="3">
        <v>1728</v>
      </c>
      <c r="R366" s="4">
        <v>2.02</v>
      </c>
      <c r="S366" s="6">
        <f>GlowNestSocialTable[[#This Row],[Link Clicks]]/GlowNestSocialTable[[#This Row],[Reach]]</f>
        <v>4.5539153135645801E-3</v>
      </c>
    </row>
    <row r="367" spans="1:19">
      <c r="A367" t="s">
        <v>402</v>
      </c>
      <c r="B367" s="2">
        <v>45878</v>
      </c>
      <c r="C367" t="s">
        <v>19</v>
      </c>
      <c r="D367" t="s">
        <v>20</v>
      </c>
      <c r="E367" t="s">
        <v>27</v>
      </c>
      <c r="F367" t="s">
        <v>28</v>
      </c>
      <c r="G367" t="s">
        <v>23</v>
      </c>
      <c r="H367" s="3">
        <v>72649</v>
      </c>
      <c r="I367" s="3">
        <v>50228</v>
      </c>
      <c r="J367" s="3">
        <v>37012</v>
      </c>
      <c r="K367" s="3">
        <v>1794</v>
      </c>
      <c r="L367" s="3">
        <v>291</v>
      </c>
      <c r="M367" s="3">
        <v>303</v>
      </c>
      <c r="N367" s="3">
        <v>546</v>
      </c>
      <c r="O367" s="3">
        <v>481</v>
      </c>
      <c r="P367" s="3">
        <v>29094</v>
      </c>
      <c r="Q367" s="3">
        <v>2934</v>
      </c>
      <c r="R367" s="4">
        <v>7.93</v>
      </c>
      <c r="S367" s="6">
        <f>GlowNestSocialTable[[#This Row],[Link Clicks]]/GlowNestSocialTable[[#This Row],[Reach]]</f>
        <v>1.2995785150761914E-2</v>
      </c>
    </row>
    <row r="368" spans="1:19">
      <c r="A368" t="s">
        <v>403</v>
      </c>
      <c r="B368" s="2">
        <v>45879</v>
      </c>
      <c r="C368" t="s">
        <v>36</v>
      </c>
      <c r="D368" t="s">
        <v>30</v>
      </c>
      <c r="E368" t="s">
        <v>49</v>
      </c>
      <c r="G368" t="s">
        <v>23</v>
      </c>
      <c r="H368" s="3">
        <v>88475</v>
      </c>
      <c r="I368" s="3">
        <v>38408</v>
      </c>
      <c r="J368" s="3">
        <v>26852</v>
      </c>
      <c r="K368" s="3">
        <v>341</v>
      </c>
      <c r="L368" s="3">
        <v>58</v>
      </c>
      <c r="M368" s="3">
        <v>48</v>
      </c>
      <c r="N368" s="3">
        <v>58</v>
      </c>
      <c r="O368" s="3">
        <v>117</v>
      </c>
      <c r="P368" s="3"/>
      <c r="Q368" s="3">
        <v>505</v>
      </c>
      <c r="R368" s="4">
        <v>1.88</v>
      </c>
      <c r="S368" s="6">
        <f>GlowNestSocialTable[[#This Row],[Link Clicks]]/GlowNestSocialTable[[#This Row],[Reach]]</f>
        <v>4.3572173394905407E-3</v>
      </c>
    </row>
    <row r="369" spans="1:19">
      <c r="A369" t="s">
        <v>404</v>
      </c>
      <c r="B369" s="2">
        <v>45879</v>
      </c>
      <c r="C369" t="s">
        <v>36</v>
      </c>
      <c r="D369" t="s">
        <v>405</v>
      </c>
      <c r="E369" t="s">
        <v>25</v>
      </c>
      <c r="F369" t="s">
        <v>44</v>
      </c>
      <c r="G369" t="s">
        <v>23</v>
      </c>
      <c r="H369" s="3">
        <v>87786</v>
      </c>
      <c r="I369" s="3">
        <v>67883</v>
      </c>
      <c r="J369" s="3">
        <v>44777</v>
      </c>
      <c r="K369" s="3">
        <v>508</v>
      </c>
      <c r="L369" s="3">
        <v>47</v>
      </c>
      <c r="M369" s="3">
        <v>44</v>
      </c>
      <c r="N369" s="3">
        <v>60</v>
      </c>
      <c r="O369" s="3">
        <v>202</v>
      </c>
      <c r="P369" s="3"/>
      <c r="Q369" s="3">
        <v>659</v>
      </c>
      <c r="R369" s="4">
        <v>1.47</v>
      </c>
      <c r="S369" s="6">
        <f>GlowNestSocialTable[[#This Row],[Link Clicks]]/GlowNestSocialTable[[#This Row],[Reach]]</f>
        <v>4.5112446121892934E-3</v>
      </c>
    </row>
    <row r="370" spans="1:19">
      <c r="A370" t="s">
        <v>406</v>
      </c>
      <c r="B370" s="2">
        <v>45880</v>
      </c>
      <c r="C370" t="s">
        <v>36</v>
      </c>
      <c r="D370" t="s">
        <v>30</v>
      </c>
      <c r="E370" t="s">
        <v>46</v>
      </c>
      <c r="F370" t="s">
        <v>28</v>
      </c>
      <c r="G370" t="s">
        <v>23</v>
      </c>
      <c r="H370" s="3">
        <v>90550</v>
      </c>
      <c r="I370" s="3">
        <v>36124</v>
      </c>
      <c r="J370" s="3">
        <v>27098</v>
      </c>
      <c r="K370" s="3">
        <v>361</v>
      </c>
      <c r="L370" s="3">
        <v>55</v>
      </c>
      <c r="M370" s="3">
        <v>38</v>
      </c>
      <c r="N370" s="3">
        <v>38</v>
      </c>
      <c r="O370" s="3">
        <v>139</v>
      </c>
      <c r="P370" s="3"/>
      <c r="Q370" s="3">
        <v>492</v>
      </c>
      <c r="R370" s="4">
        <v>1.82</v>
      </c>
      <c r="S370" s="6">
        <f>GlowNestSocialTable[[#This Row],[Link Clicks]]/GlowNestSocialTable[[#This Row],[Reach]]</f>
        <v>5.1295298546018154E-3</v>
      </c>
    </row>
    <row r="371" spans="1:19">
      <c r="A371" t="s">
        <v>407</v>
      </c>
      <c r="B371" s="2">
        <v>45881</v>
      </c>
      <c r="C371" t="s">
        <v>19</v>
      </c>
      <c r="D371" t="s">
        <v>34</v>
      </c>
      <c r="E371" t="s">
        <v>25</v>
      </c>
      <c r="F371" t="s">
        <v>42</v>
      </c>
      <c r="G371" t="s">
        <v>23</v>
      </c>
      <c r="H371" s="3">
        <v>73163</v>
      </c>
      <c r="I371" s="3">
        <v>29170</v>
      </c>
      <c r="J371" s="3">
        <v>21366</v>
      </c>
      <c r="K371" s="3">
        <v>345</v>
      </c>
      <c r="L371" s="3">
        <v>53</v>
      </c>
      <c r="M371" s="3">
        <v>42</v>
      </c>
      <c r="N371" s="3">
        <v>44</v>
      </c>
      <c r="O371" s="3">
        <v>195</v>
      </c>
      <c r="P371" s="3"/>
      <c r="Q371" s="3">
        <v>484</v>
      </c>
      <c r="R371" s="4">
        <v>2.27</v>
      </c>
      <c r="S371" s="6">
        <f>GlowNestSocialTable[[#This Row],[Link Clicks]]/GlowNestSocialTable[[#This Row],[Reach]]</f>
        <v>9.1266498174670044E-3</v>
      </c>
    </row>
    <row r="372" spans="1:19">
      <c r="A372" t="s">
        <v>408</v>
      </c>
      <c r="B372" s="2">
        <v>45881</v>
      </c>
      <c r="C372" t="s">
        <v>36</v>
      </c>
      <c r="D372" t="s">
        <v>37</v>
      </c>
      <c r="E372" t="s">
        <v>25</v>
      </c>
      <c r="F372" t="s">
        <v>31</v>
      </c>
      <c r="G372" t="s">
        <v>23</v>
      </c>
      <c r="H372" s="3">
        <v>86800</v>
      </c>
      <c r="I372" s="3">
        <v>59745</v>
      </c>
      <c r="J372" s="3">
        <v>48620</v>
      </c>
      <c r="K372" s="3">
        <v>448</v>
      </c>
      <c r="L372" s="3">
        <v>57</v>
      </c>
      <c r="M372" s="3">
        <v>49</v>
      </c>
      <c r="N372" s="3">
        <v>74</v>
      </c>
      <c r="O372" s="3">
        <v>184</v>
      </c>
      <c r="P372" s="3"/>
      <c r="Q372" s="3">
        <v>628</v>
      </c>
      <c r="R372" s="4">
        <v>1.29</v>
      </c>
      <c r="S372" s="6">
        <f>GlowNestSocialTable[[#This Row],[Link Clicks]]/GlowNestSocialTable[[#This Row],[Reach]]</f>
        <v>3.7844508432743726E-3</v>
      </c>
    </row>
    <row r="373" spans="1:19">
      <c r="A373" t="s">
        <v>409</v>
      </c>
      <c r="B373" s="2">
        <v>45882</v>
      </c>
      <c r="C373" t="s">
        <v>33</v>
      </c>
      <c r="D373" t="s">
        <v>37</v>
      </c>
      <c r="E373" t="s">
        <v>21</v>
      </c>
      <c r="F373" t="s">
        <v>22</v>
      </c>
      <c r="G373" t="s">
        <v>23</v>
      </c>
      <c r="H373" s="3">
        <v>35488</v>
      </c>
      <c r="I373" s="3">
        <v>8408</v>
      </c>
      <c r="J373" s="3">
        <v>6892</v>
      </c>
      <c r="K373" s="3">
        <v>265</v>
      </c>
      <c r="L373" s="3">
        <v>43</v>
      </c>
      <c r="M373" s="3">
        <v>28</v>
      </c>
      <c r="N373" s="3">
        <v>57</v>
      </c>
      <c r="O373" s="3">
        <v>76</v>
      </c>
      <c r="P373" s="3"/>
      <c r="Q373" s="3">
        <v>393</v>
      </c>
      <c r="R373" s="4">
        <v>5.7</v>
      </c>
      <c r="S373" s="6">
        <f>GlowNestSocialTable[[#This Row],[Link Clicks]]/GlowNestSocialTable[[#This Row],[Reach]]</f>
        <v>1.1027278003482298E-2</v>
      </c>
    </row>
    <row r="374" spans="1:19">
      <c r="A374" t="s">
        <v>410</v>
      </c>
      <c r="B374" s="2">
        <v>45882</v>
      </c>
      <c r="C374" t="s">
        <v>19</v>
      </c>
      <c r="D374" t="s">
        <v>37</v>
      </c>
      <c r="E374" t="s">
        <v>46</v>
      </c>
      <c r="F374" t="s">
        <v>42</v>
      </c>
      <c r="G374" t="s">
        <v>23</v>
      </c>
      <c r="H374" s="3">
        <v>73331</v>
      </c>
      <c r="I374" s="3">
        <v>37983</v>
      </c>
      <c r="J374" s="3">
        <v>27756</v>
      </c>
      <c r="K374" s="3">
        <v>1312</v>
      </c>
      <c r="L374" s="3">
        <v>148</v>
      </c>
      <c r="M374" s="3">
        <v>161</v>
      </c>
      <c r="N374" s="3">
        <v>146</v>
      </c>
      <c r="O374" s="3">
        <v>406</v>
      </c>
      <c r="P374" s="3"/>
      <c r="Q374" s="3">
        <v>1767</v>
      </c>
      <c r="R374" s="4">
        <v>6.37</v>
      </c>
      <c r="S374" s="6">
        <f>GlowNestSocialTable[[#This Row],[Link Clicks]]/GlowNestSocialTable[[#This Row],[Reach]]</f>
        <v>1.4627467934860932E-2</v>
      </c>
    </row>
    <row r="375" spans="1:19">
      <c r="A375" t="s">
        <v>411</v>
      </c>
      <c r="B375" s="2">
        <v>45883</v>
      </c>
      <c r="C375" t="s">
        <v>19</v>
      </c>
      <c r="D375" t="s">
        <v>37</v>
      </c>
      <c r="E375" t="s">
        <v>27</v>
      </c>
      <c r="F375" t="s">
        <v>42</v>
      </c>
      <c r="G375" t="s">
        <v>38</v>
      </c>
      <c r="H375" s="3">
        <v>74102</v>
      </c>
      <c r="I375" s="3">
        <v>60136</v>
      </c>
      <c r="J375" s="3">
        <v>42754</v>
      </c>
      <c r="K375" s="3">
        <v>1850</v>
      </c>
      <c r="L375" s="3">
        <v>215</v>
      </c>
      <c r="M375" s="3">
        <v>172</v>
      </c>
      <c r="N375" s="3">
        <v>686</v>
      </c>
      <c r="O375" s="3">
        <v>719</v>
      </c>
      <c r="P375" s="3"/>
      <c r="Q375" s="3">
        <v>2923</v>
      </c>
      <c r="R375" s="4">
        <v>6.84</v>
      </c>
      <c r="S375" s="6">
        <f>GlowNestSocialTable[[#This Row],[Link Clicks]]/GlowNestSocialTable[[#This Row],[Reach]]</f>
        <v>1.6817139916732938E-2</v>
      </c>
    </row>
    <row r="376" spans="1:19">
      <c r="A376" t="s">
        <v>412</v>
      </c>
      <c r="B376" s="2">
        <v>45884</v>
      </c>
      <c r="C376" t="s">
        <v>19</v>
      </c>
      <c r="D376" t="s">
        <v>37</v>
      </c>
      <c r="E376" t="s">
        <v>49</v>
      </c>
      <c r="F376" t="s">
        <v>44</v>
      </c>
      <c r="G376" t="s">
        <v>23</v>
      </c>
      <c r="H376" s="3">
        <v>71694</v>
      </c>
      <c r="I376" s="3">
        <v>40236</v>
      </c>
      <c r="J376" s="3">
        <v>30237</v>
      </c>
      <c r="K376" s="3">
        <v>1153</v>
      </c>
      <c r="L376" s="3">
        <v>183</v>
      </c>
      <c r="M376" s="3">
        <v>169</v>
      </c>
      <c r="N376" s="3">
        <v>96</v>
      </c>
      <c r="O376" s="3">
        <v>320</v>
      </c>
      <c r="P376" s="3"/>
      <c r="Q376" s="3">
        <v>1601</v>
      </c>
      <c r="R376" s="4">
        <v>5.29</v>
      </c>
      <c r="S376" s="6">
        <f>GlowNestSocialTable[[#This Row],[Link Clicks]]/GlowNestSocialTable[[#This Row],[Reach]]</f>
        <v>1.0583060488805106E-2</v>
      </c>
    </row>
    <row r="377" spans="1:19">
      <c r="A377" t="s">
        <v>413</v>
      </c>
      <c r="B377" s="2">
        <v>45884</v>
      </c>
      <c r="C377" t="s">
        <v>19</v>
      </c>
      <c r="D377" t="s">
        <v>20</v>
      </c>
      <c r="E377" t="s">
        <v>27</v>
      </c>
      <c r="F377" t="s">
        <v>31</v>
      </c>
      <c r="G377" t="s">
        <v>23</v>
      </c>
      <c r="H377" s="3">
        <v>71756</v>
      </c>
      <c r="I377" s="3">
        <v>31297</v>
      </c>
      <c r="J377" s="3">
        <v>26729</v>
      </c>
      <c r="K377" s="3">
        <v>1587</v>
      </c>
      <c r="L377" s="3">
        <v>201</v>
      </c>
      <c r="M377" s="3">
        <v>235</v>
      </c>
      <c r="N377" s="3">
        <v>663</v>
      </c>
      <c r="O377" s="3">
        <v>356</v>
      </c>
      <c r="P377" s="3">
        <v>22175</v>
      </c>
      <c r="Q377" s="3">
        <v>2686</v>
      </c>
      <c r="R377" s="4">
        <v>10.050000000000001</v>
      </c>
      <c r="S377" s="6">
        <f>GlowNestSocialTable[[#This Row],[Link Clicks]]/GlowNestSocialTable[[#This Row],[Reach]]</f>
        <v>1.3318867148041454E-2</v>
      </c>
    </row>
    <row r="378" spans="1:19">
      <c r="A378" t="s">
        <v>414</v>
      </c>
      <c r="B378" s="2">
        <v>45885</v>
      </c>
      <c r="C378" t="s">
        <v>19</v>
      </c>
      <c r="D378" t="s">
        <v>30</v>
      </c>
      <c r="E378" t="s">
        <v>49</v>
      </c>
      <c r="F378" t="s">
        <v>31</v>
      </c>
      <c r="G378" t="s">
        <v>23</v>
      </c>
      <c r="H378" s="3">
        <v>75612</v>
      </c>
      <c r="I378" s="3">
        <v>23798</v>
      </c>
      <c r="J378" s="3">
        <v>21186</v>
      </c>
      <c r="K378" s="3">
        <v>863</v>
      </c>
      <c r="L378" s="3">
        <v>156</v>
      </c>
      <c r="M378" s="3">
        <v>78</v>
      </c>
      <c r="N378" s="3">
        <v>80</v>
      </c>
      <c r="O378" s="3">
        <v>175</v>
      </c>
      <c r="P378" s="3"/>
      <c r="Q378" s="3">
        <v>1177</v>
      </c>
      <c r="R378" s="4">
        <v>5.56</v>
      </c>
      <c r="S378" s="6">
        <f>GlowNestSocialTable[[#This Row],[Link Clicks]]/GlowNestSocialTable[[#This Row],[Reach]]</f>
        <v>8.26017181157368E-3</v>
      </c>
    </row>
    <row r="379" spans="1:19">
      <c r="A379" t="s">
        <v>415</v>
      </c>
      <c r="B379" s="2">
        <v>45885</v>
      </c>
      <c r="C379" t="s">
        <v>19</v>
      </c>
      <c r="D379" t="s">
        <v>30</v>
      </c>
      <c r="E379" t="s">
        <v>49</v>
      </c>
      <c r="F379" t="s">
        <v>28</v>
      </c>
      <c r="G379" t="s">
        <v>23</v>
      </c>
      <c r="H379" s="3">
        <v>72520</v>
      </c>
      <c r="I379" s="3">
        <v>29648</v>
      </c>
      <c r="J379" s="3">
        <v>26817</v>
      </c>
      <c r="K379" s="3">
        <v>889</v>
      </c>
      <c r="L379" s="3">
        <v>95</v>
      </c>
      <c r="M379" s="3">
        <v>134</v>
      </c>
      <c r="N379" s="3">
        <v>162</v>
      </c>
      <c r="O379" s="3">
        <v>201</v>
      </c>
      <c r="P379" s="3"/>
      <c r="Q379" s="3">
        <v>1280</v>
      </c>
      <c r="R379" s="4">
        <v>4.7699999999999996</v>
      </c>
      <c r="S379" s="6">
        <f>GlowNestSocialTable[[#This Row],[Link Clicks]]/GlowNestSocialTable[[#This Row],[Reach]]</f>
        <v>7.4952455531938694E-3</v>
      </c>
    </row>
    <row r="380" spans="1:19">
      <c r="A380" t="s">
        <v>416</v>
      </c>
      <c r="B380" s="2">
        <v>45886</v>
      </c>
      <c r="C380" t="s">
        <v>19</v>
      </c>
      <c r="D380" t="s">
        <v>20</v>
      </c>
      <c r="E380" t="s">
        <v>25</v>
      </c>
      <c r="F380" t="s">
        <v>42</v>
      </c>
      <c r="G380" t="s">
        <v>23</v>
      </c>
      <c r="H380" s="3">
        <v>72730</v>
      </c>
      <c r="I380" s="3">
        <v>33585</v>
      </c>
      <c r="J380" s="3">
        <v>30977</v>
      </c>
      <c r="K380" s="3">
        <v>1298</v>
      </c>
      <c r="L380" s="3">
        <v>226</v>
      </c>
      <c r="M380" s="3">
        <v>191</v>
      </c>
      <c r="N380" s="3"/>
      <c r="O380" s="3">
        <v>270</v>
      </c>
      <c r="P380" s="3">
        <v>21573</v>
      </c>
      <c r="Q380" s="3">
        <v>1812</v>
      </c>
      <c r="R380" s="4">
        <v>5.85</v>
      </c>
      <c r="S380" s="6">
        <f>GlowNestSocialTable[[#This Row],[Link Clicks]]/GlowNestSocialTable[[#This Row],[Reach]]</f>
        <v>8.7161442360460979E-3</v>
      </c>
    </row>
    <row r="381" spans="1:19">
      <c r="A381" t="s">
        <v>417</v>
      </c>
      <c r="B381" s="2">
        <v>45887</v>
      </c>
      <c r="C381" t="s">
        <v>19</v>
      </c>
      <c r="D381" t="s">
        <v>30</v>
      </c>
      <c r="E381" t="s">
        <v>49</v>
      </c>
      <c r="F381" t="s">
        <v>28</v>
      </c>
      <c r="G381" t="s">
        <v>23</v>
      </c>
      <c r="H381" s="3">
        <v>73068</v>
      </c>
      <c r="I381" s="3">
        <v>30694</v>
      </c>
      <c r="J381" s="3">
        <v>23059</v>
      </c>
      <c r="K381" s="3">
        <v>950</v>
      </c>
      <c r="L381" s="3">
        <v>105</v>
      </c>
      <c r="M381" s="3">
        <v>135</v>
      </c>
      <c r="N381" s="3">
        <v>61</v>
      </c>
      <c r="O381" s="3">
        <v>156</v>
      </c>
      <c r="P381" s="3"/>
      <c r="Q381" s="3">
        <v>1251</v>
      </c>
      <c r="R381" s="4">
        <v>5.43</v>
      </c>
      <c r="S381" s="6">
        <f>GlowNestSocialTable[[#This Row],[Link Clicks]]/GlowNestSocialTable[[#This Row],[Reach]]</f>
        <v>6.765254347543259E-3</v>
      </c>
    </row>
    <row r="382" spans="1:19">
      <c r="A382" t="s">
        <v>418</v>
      </c>
      <c r="B382" s="2">
        <v>45887</v>
      </c>
      <c r="C382" t="s">
        <v>33</v>
      </c>
      <c r="D382" t="s">
        <v>30</v>
      </c>
      <c r="E382" t="s">
        <v>49</v>
      </c>
      <c r="F382" t="s">
        <v>31</v>
      </c>
      <c r="G382" t="s">
        <v>23</v>
      </c>
      <c r="H382" s="3">
        <v>35335</v>
      </c>
      <c r="I382" s="3">
        <v>9677</v>
      </c>
      <c r="J382" s="3">
        <v>7468</v>
      </c>
      <c r="K382" s="3">
        <v>173</v>
      </c>
      <c r="L382" s="3">
        <v>20</v>
      </c>
      <c r="M382" s="3">
        <v>24</v>
      </c>
      <c r="N382" s="3">
        <v>10</v>
      </c>
      <c r="O382" s="3">
        <v>67</v>
      </c>
      <c r="P382" s="3"/>
      <c r="Q382" s="3">
        <v>227</v>
      </c>
      <c r="R382" s="4">
        <v>3.04</v>
      </c>
      <c r="S382" s="6">
        <f>GlowNestSocialTable[[#This Row],[Link Clicks]]/GlowNestSocialTable[[#This Row],[Reach]]</f>
        <v>8.9716122121049815E-3</v>
      </c>
    </row>
    <row r="383" spans="1:19">
      <c r="A383" t="s">
        <v>419</v>
      </c>
      <c r="B383" s="2">
        <v>45888</v>
      </c>
      <c r="C383" t="s">
        <v>19</v>
      </c>
      <c r="D383" t="s">
        <v>37</v>
      </c>
      <c r="E383" t="s">
        <v>21</v>
      </c>
      <c r="F383" t="s">
        <v>31</v>
      </c>
      <c r="G383" t="s">
        <v>23</v>
      </c>
      <c r="H383" s="3">
        <v>72264</v>
      </c>
      <c r="I383" s="3">
        <v>24309</v>
      </c>
      <c r="J383" s="3">
        <v>19656</v>
      </c>
      <c r="K383" s="3">
        <v>745</v>
      </c>
      <c r="L383" s="3">
        <v>141</v>
      </c>
      <c r="M383" s="3">
        <v>92</v>
      </c>
      <c r="N383" s="3">
        <v>150</v>
      </c>
      <c r="O383" s="3">
        <v>217</v>
      </c>
      <c r="P383" s="3"/>
      <c r="Q383" s="3">
        <v>1128</v>
      </c>
      <c r="R383" s="4">
        <v>5.74</v>
      </c>
      <c r="S383" s="6">
        <f>GlowNestSocialTable[[#This Row],[Link Clicks]]/GlowNestSocialTable[[#This Row],[Reach]]</f>
        <v>1.1039886039886039E-2</v>
      </c>
    </row>
    <row r="384" spans="1:19">
      <c r="A384" t="s">
        <v>420</v>
      </c>
      <c r="B384" s="2">
        <v>45888</v>
      </c>
      <c r="C384" t="s">
        <v>36</v>
      </c>
      <c r="D384" t="s">
        <v>30</v>
      </c>
      <c r="E384" t="s">
        <v>27</v>
      </c>
      <c r="F384" t="s">
        <v>22</v>
      </c>
      <c r="G384" t="s">
        <v>23</v>
      </c>
      <c r="H384" s="3">
        <v>87799</v>
      </c>
      <c r="I384" s="3">
        <v>33865</v>
      </c>
      <c r="J384" s="3">
        <v>29713</v>
      </c>
      <c r="K384" s="3">
        <v>526</v>
      </c>
      <c r="L384" s="3">
        <v>65</v>
      </c>
      <c r="M384" s="3">
        <v>81</v>
      </c>
      <c r="N384" s="3">
        <v>112</v>
      </c>
      <c r="O384" s="3">
        <v>129</v>
      </c>
      <c r="P384" s="3"/>
      <c r="Q384" s="3">
        <v>784</v>
      </c>
      <c r="R384" s="4">
        <v>2.64</v>
      </c>
      <c r="S384" s="6">
        <f>GlowNestSocialTable[[#This Row],[Link Clicks]]/GlowNestSocialTable[[#This Row],[Reach]]</f>
        <v>4.3415340086830683E-3</v>
      </c>
    </row>
    <row r="385" spans="1:19">
      <c r="A385" t="s">
        <v>421</v>
      </c>
      <c r="B385" s="2">
        <v>45889</v>
      </c>
      <c r="C385" t="s">
        <v>19</v>
      </c>
      <c r="D385" t="s">
        <v>37</v>
      </c>
      <c r="E385" t="s">
        <v>25</v>
      </c>
      <c r="F385" t="s">
        <v>22</v>
      </c>
      <c r="G385" t="s">
        <v>23</v>
      </c>
      <c r="H385" s="3">
        <v>72730</v>
      </c>
      <c r="I385" s="3">
        <v>32506</v>
      </c>
      <c r="J385" s="3">
        <v>22146</v>
      </c>
      <c r="K385" s="3">
        <v>562</v>
      </c>
      <c r="L385" s="3">
        <v>85</v>
      </c>
      <c r="M385" s="3">
        <v>55</v>
      </c>
      <c r="N385" s="3">
        <v>122</v>
      </c>
      <c r="O385" s="3">
        <v>245</v>
      </c>
      <c r="P385" s="3"/>
      <c r="Q385" s="3">
        <v>824</v>
      </c>
      <c r="R385" s="4">
        <v>3.72</v>
      </c>
      <c r="S385" s="6">
        <f>GlowNestSocialTable[[#This Row],[Link Clicks]]/GlowNestSocialTable[[#This Row],[Reach]]</f>
        <v>1.1062945904452271E-2</v>
      </c>
    </row>
    <row r="386" spans="1:19">
      <c r="A386" t="s">
        <v>422</v>
      </c>
      <c r="B386" s="2">
        <v>45890</v>
      </c>
      <c r="C386" t="s">
        <v>36</v>
      </c>
      <c r="D386" t="s">
        <v>37</v>
      </c>
      <c r="E386" t="s">
        <v>27</v>
      </c>
      <c r="F386" t="s">
        <v>44</v>
      </c>
      <c r="G386" t="s">
        <v>23</v>
      </c>
      <c r="H386" s="3">
        <v>89919</v>
      </c>
      <c r="I386" s="3">
        <v>70035</v>
      </c>
      <c r="J386" s="3">
        <v>46158</v>
      </c>
      <c r="K386" s="3">
        <v>990</v>
      </c>
      <c r="L386" s="3">
        <v>117</v>
      </c>
      <c r="M386" s="3">
        <v>98</v>
      </c>
      <c r="N386" s="3">
        <v>352</v>
      </c>
      <c r="O386" s="3">
        <v>294</v>
      </c>
      <c r="P386" s="3"/>
      <c r="Q386" s="3">
        <v>1557</v>
      </c>
      <c r="R386" s="4">
        <v>3.37</v>
      </c>
      <c r="S386" s="6">
        <f>GlowNestSocialTable[[#This Row],[Link Clicks]]/GlowNestSocialTable[[#This Row],[Reach]]</f>
        <v>6.369426751592357E-3</v>
      </c>
    </row>
    <row r="387" spans="1:19">
      <c r="A387" t="s">
        <v>423</v>
      </c>
      <c r="B387" s="2">
        <v>45890</v>
      </c>
      <c r="C387" t="s">
        <v>36</v>
      </c>
      <c r="D387" t="s">
        <v>20</v>
      </c>
      <c r="E387" t="s">
        <v>25</v>
      </c>
      <c r="F387" t="s">
        <v>31</v>
      </c>
      <c r="G387" t="s">
        <v>23</v>
      </c>
      <c r="H387" s="3">
        <v>87266</v>
      </c>
      <c r="I387" s="3">
        <v>68267</v>
      </c>
      <c r="J387" s="3">
        <v>50180</v>
      </c>
      <c r="K387" s="3">
        <v>714</v>
      </c>
      <c r="L387" s="3">
        <v>128</v>
      </c>
      <c r="M387" s="3">
        <v>111</v>
      </c>
      <c r="N387" s="3">
        <v>49</v>
      </c>
      <c r="O387" s="3">
        <v>170</v>
      </c>
      <c r="P387" s="3">
        <v>28311</v>
      </c>
      <c r="Q387" s="3">
        <v>1002</v>
      </c>
      <c r="R387" s="4">
        <v>2</v>
      </c>
      <c r="S387" s="6">
        <f>GlowNestSocialTable[[#This Row],[Link Clicks]]/GlowNestSocialTable[[#This Row],[Reach]]</f>
        <v>3.387803905938621E-3</v>
      </c>
    </row>
    <row r="388" spans="1:19">
      <c r="A388" t="s">
        <v>424</v>
      </c>
      <c r="B388" s="2">
        <v>45891</v>
      </c>
      <c r="C388" t="s">
        <v>19</v>
      </c>
      <c r="D388" t="s">
        <v>37</v>
      </c>
      <c r="E388" t="s">
        <v>25</v>
      </c>
      <c r="F388" t="s">
        <v>44</v>
      </c>
      <c r="G388" t="s">
        <v>23</v>
      </c>
      <c r="H388" s="3">
        <v>73897</v>
      </c>
      <c r="I388" s="3">
        <v>37630</v>
      </c>
      <c r="J388" s="3">
        <v>24632</v>
      </c>
      <c r="K388" s="3">
        <v>703</v>
      </c>
      <c r="L388" s="3">
        <v>95</v>
      </c>
      <c r="M388" s="3">
        <v>74</v>
      </c>
      <c r="N388" s="3">
        <v>165</v>
      </c>
      <c r="O388" s="3">
        <v>246</v>
      </c>
      <c r="P388" s="3"/>
      <c r="Q388" s="3">
        <v>1037</v>
      </c>
      <c r="R388" s="4">
        <v>4.21</v>
      </c>
      <c r="S388" s="6">
        <f>GlowNestSocialTable[[#This Row],[Link Clicks]]/GlowNestSocialTable[[#This Row],[Reach]]</f>
        <v>9.9870087690808705E-3</v>
      </c>
    </row>
    <row r="389" spans="1:19">
      <c r="A389" t="s">
        <v>425</v>
      </c>
      <c r="B389" s="2">
        <v>45891</v>
      </c>
      <c r="C389" t="s">
        <v>19</v>
      </c>
      <c r="D389" t="s">
        <v>20</v>
      </c>
      <c r="E389" t="s">
        <v>49</v>
      </c>
      <c r="F389" t="s">
        <v>22</v>
      </c>
      <c r="G389" t="s">
        <v>23</v>
      </c>
      <c r="H389" s="3">
        <v>72420</v>
      </c>
      <c r="I389" s="3">
        <v>47551</v>
      </c>
      <c r="J389" s="3">
        <v>34611</v>
      </c>
      <c r="K389" s="3">
        <v>2170</v>
      </c>
      <c r="L389" s="3">
        <v>305</v>
      </c>
      <c r="M389" s="3">
        <v>329</v>
      </c>
      <c r="N389" s="3">
        <v>196</v>
      </c>
      <c r="O389" s="3">
        <v>281</v>
      </c>
      <c r="P389" s="3">
        <v>26448</v>
      </c>
      <c r="Q389" s="3">
        <v>3000</v>
      </c>
      <c r="R389" s="4">
        <v>8.67</v>
      </c>
      <c r="S389" s="6">
        <f>GlowNestSocialTable[[#This Row],[Link Clicks]]/GlowNestSocialTable[[#This Row],[Reach]]</f>
        <v>8.1188061598913633E-3</v>
      </c>
    </row>
    <row r="390" spans="1:19">
      <c r="A390" t="s">
        <v>426</v>
      </c>
      <c r="B390" s="2">
        <v>45892</v>
      </c>
      <c r="C390" t="s">
        <v>33</v>
      </c>
      <c r="D390" t="s">
        <v>34</v>
      </c>
      <c r="E390" t="s">
        <v>25</v>
      </c>
      <c r="F390" t="s">
        <v>22</v>
      </c>
      <c r="G390" t="s">
        <v>23</v>
      </c>
      <c r="H390" s="3">
        <v>34895</v>
      </c>
      <c r="I390" s="3">
        <v>8388</v>
      </c>
      <c r="J390" s="3">
        <v>7222</v>
      </c>
      <c r="K390" s="3">
        <v>106</v>
      </c>
      <c r="L390" s="3">
        <v>17</v>
      </c>
      <c r="M390" s="3">
        <v>11</v>
      </c>
      <c r="N390" s="3">
        <v>10</v>
      </c>
      <c r="O390" s="3">
        <v>104</v>
      </c>
      <c r="P390" s="3"/>
      <c r="Q390" s="3">
        <v>144</v>
      </c>
      <c r="R390" s="4">
        <v>1.99</v>
      </c>
      <c r="S390" s="6">
        <f>GlowNestSocialTable[[#This Row],[Link Clicks]]/GlowNestSocialTable[[#This Row],[Reach]]</f>
        <v>1.4400443090556632E-2</v>
      </c>
    </row>
    <row r="391" spans="1:19">
      <c r="A391" t="s">
        <v>427</v>
      </c>
      <c r="B391" s="2">
        <v>45893</v>
      </c>
      <c r="C391" t="s">
        <v>19</v>
      </c>
      <c r="D391" t="s">
        <v>20</v>
      </c>
      <c r="E391" t="s">
        <v>21</v>
      </c>
      <c r="F391" t="s">
        <v>28</v>
      </c>
      <c r="G391" t="s">
        <v>23</v>
      </c>
      <c r="H391" s="3">
        <v>73475</v>
      </c>
      <c r="I391" s="3">
        <v>33037</v>
      </c>
      <c r="J391" s="3">
        <v>28571</v>
      </c>
      <c r="K391" s="3">
        <v>1245</v>
      </c>
      <c r="L391" s="3">
        <v>142</v>
      </c>
      <c r="M391" s="3">
        <v>205</v>
      </c>
      <c r="N391" s="3">
        <v>216</v>
      </c>
      <c r="O391" s="3">
        <v>374</v>
      </c>
      <c r="P391" s="3">
        <v>18844</v>
      </c>
      <c r="Q391" s="3">
        <v>1808</v>
      </c>
      <c r="R391" s="4">
        <v>6.33</v>
      </c>
      <c r="S391" s="6">
        <f>GlowNestSocialTable[[#This Row],[Link Clicks]]/GlowNestSocialTable[[#This Row],[Reach]]</f>
        <v>1.3090196352945295E-2</v>
      </c>
    </row>
    <row r="392" spans="1:19">
      <c r="A392" t="s">
        <v>428</v>
      </c>
      <c r="B392" s="2">
        <v>45893</v>
      </c>
      <c r="C392" t="s">
        <v>19</v>
      </c>
      <c r="D392" t="s">
        <v>20</v>
      </c>
      <c r="E392" t="s">
        <v>25</v>
      </c>
      <c r="F392" t="s">
        <v>31</v>
      </c>
      <c r="G392" t="s">
        <v>23</v>
      </c>
      <c r="H392" s="3">
        <v>73089</v>
      </c>
      <c r="I392" s="3">
        <v>45040</v>
      </c>
      <c r="J392" s="3">
        <v>34350</v>
      </c>
      <c r="K392" s="3">
        <v>1215</v>
      </c>
      <c r="L392" s="3">
        <v>200</v>
      </c>
      <c r="M392" s="3">
        <v>127</v>
      </c>
      <c r="N392" s="3">
        <v>76</v>
      </c>
      <c r="O392" s="3">
        <v>281</v>
      </c>
      <c r="P392" s="3">
        <v>30391</v>
      </c>
      <c r="Q392" s="3">
        <v>1618</v>
      </c>
      <c r="R392" s="4">
        <v>4.71</v>
      </c>
      <c r="S392" s="6">
        <f>GlowNestSocialTable[[#This Row],[Link Clicks]]/GlowNestSocialTable[[#This Row],[Reach]]</f>
        <v>8.1804949053857351E-3</v>
      </c>
    </row>
    <row r="393" spans="1:19">
      <c r="A393" t="s">
        <v>429</v>
      </c>
      <c r="B393" s="2">
        <v>45894</v>
      </c>
      <c r="C393" t="s">
        <v>19</v>
      </c>
      <c r="D393" t="s">
        <v>37</v>
      </c>
      <c r="E393" t="s">
        <v>25</v>
      </c>
      <c r="F393" t="s">
        <v>44</v>
      </c>
      <c r="G393" t="s">
        <v>23</v>
      </c>
      <c r="H393" s="3">
        <v>74969</v>
      </c>
      <c r="I393" s="3">
        <v>27724</v>
      </c>
      <c r="J393" s="3">
        <v>22738</v>
      </c>
      <c r="K393" s="3">
        <v>606</v>
      </c>
      <c r="L393" s="3">
        <v>58</v>
      </c>
      <c r="M393" s="3">
        <v>82</v>
      </c>
      <c r="N393" s="3">
        <v>71</v>
      </c>
      <c r="O393" s="3">
        <v>183</v>
      </c>
      <c r="P393" s="3"/>
      <c r="Q393" s="3">
        <v>817</v>
      </c>
      <c r="R393" s="4">
        <v>3.59</v>
      </c>
      <c r="S393" s="6">
        <f>GlowNestSocialTable[[#This Row],[Link Clicks]]/GlowNestSocialTable[[#This Row],[Reach]]</f>
        <v>8.0482012490104664E-3</v>
      </c>
    </row>
    <row r="394" spans="1:19">
      <c r="A394" t="s">
        <v>430</v>
      </c>
      <c r="B394" s="2">
        <v>45894</v>
      </c>
      <c r="C394" t="s">
        <v>19</v>
      </c>
      <c r="D394" t="s">
        <v>30</v>
      </c>
      <c r="E394" t="s">
        <v>25</v>
      </c>
      <c r="F394" t="s">
        <v>42</v>
      </c>
      <c r="G394" t="s">
        <v>38</v>
      </c>
      <c r="H394" s="3">
        <v>72837</v>
      </c>
      <c r="I394" s="3">
        <v>36806</v>
      </c>
      <c r="J394" s="3">
        <v>27721</v>
      </c>
      <c r="K394" s="3">
        <v>561</v>
      </c>
      <c r="L394" s="3">
        <v>96</v>
      </c>
      <c r="M394" s="3">
        <v>56</v>
      </c>
      <c r="N394" s="3">
        <v>23</v>
      </c>
      <c r="O394" s="3">
        <v>230</v>
      </c>
      <c r="P394" s="3"/>
      <c r="Q394" s="3">
        <v>736</v>
      </c>
      <c r="R394" s="4">
        <v>2.66</v>
      </c>
      <c r="S394" s="6">
        <f>GlowNestSocialTable[[#This Row],[Link Clicks]]/GlowNestSocialTable[[#This Row],[Reach]]</f>
        <v>8.2969589841636309E-3</v>
      </c>
    </row>
    <row r="395" spans="1:19">
      <c r="A395" t="s">
        <v>431</v>
      </c>
      <c r="B395" s="2">
        <v>45895</v>
      </c>
      <c r="C395" t="s">
        <v>36</v>
      </c>
      <c r="D395" t="s">
        <v>30</v>
      </c>
      <c r="E395" t="s">
        <v>49</v>
      </c>
      <c r="F395" t="s">
        <v>31</v>
      </c>
      <c r="G395" t="s">
        <v>38</v>
      </c>
      <c r="H395" s="3">
        <v>87383</v>
      </c>
      <c r="I395" s="3">
        <v>69908</v>
      </c>
      <c r="J395" s="3">
        <v>47525</v>
      </c>
      <c r="K395" s="3">
        <v>630</v>
      </c>
      <c r="L395" s="3">
        <v>110</v>
      </c>
      <c r="M395" s="3">
        <v>69</v>
      </c>
      <c r="N395" s="3">
        <v>110</v>
      </c>
      <c r="O395" s="3">
        <v>149</v>
      </c>
      <c r="P395" s="3"/>
      <c r="Q395" s="3">
        <v>919</v>
      </c>
      <c r="R395" s="4">
        <v>1.93</v>
      </c>
      <c r="S395" s="6">
        <f>GlowNestSocialTable[[#This Row],[Link Clicks]]/GlowNestSocialTable[[#This Row],[Reach]]</f>
        <v>3.1351920042083114E-3</v>
      </c>
    </row>
    <row r="396" spans="1:19">
      <c r="A396" t="s">
        <v>432</v>
      </c>
      <c r="B396" s="2">
        <v>45896</v>
      </c>
      <c r="C396" t="s">
        <v>19</v>
      </c>
      <c r="D396" t="s">
        <v>30</v>
      </c>
      <c r="E396" t="s">
        <v>46</v>
      </c>
      <c r="F396" t="s">
        <v>28</v>
      </c>
      <c r="G396" t="s">
        <v>38</v>
      </c>
      <c r="H396" s="3">
        <v>71453</v>
      </c>
      <c r="I396" s="3">
        <v>29880</v>
      </c>
      <c r="J396" s="3">
        <v>24024</v>
      </c>
      <c r="K396" s="3">
        <v>782</v>
      </c>
      <c r="L396" s="3">
        <v>78</v>
      </c>
      <c r="M396" s="3">
        <v>93</v>
      </c>
      <c r="N396" s="3">
        <v>126</v>
      </c>
      <c r="O396" s="3">
        <v>240</v>
      </c>
      <c r="P396" s="3"/>
      <c r="Q396" s="3">
        <v>1079</v>
      </c>
      <c r="R396" s="4">
        <v>4.49</v>
      </c>
      <c r="S396" s="6">
        <f>GlowNestSocialTable[[#This Row],[Link Clicks]]/GlowNestSocialTable[[#This Row],[Reach]]</f>
        <v>9.99000999000999E-3</v>
      </c>
    </row>
    <row r="397" spans="1:19">
      <c r="A397" t="s">
        <v>433</v>
      </c>
      <c r="B397" s="2">
        <v>45896</v>
      </c>
      <c r="C397" t="s">
        <v>19</v>
      </c>
      <c r="D397" t="s">
        <v>20</v>
      </c>
      <c r="E397" t="s">
        <v>46</v>
      </c>
      <c r="F397" t="s">
        <v>42</v>
      </c>
      <c r="G397" t="s">
        <v>23</v>
      </c>
      <c r="H397" s="3">
        <v>74032</v>
      </c>
      <c r="I397" s="3">
        <v>45007</v>
      </c>
      <c r="J397" s="3">
        <v>30926</v>
      </c>
      <c r="K397" s="3">
        <v>1197</v>
      </c>
      <c r="L397" s="3">
        <v>162</v>
      </c>
      <c r="M397" s="3">
        <v>192</v>
      </c>
      <c r="N397" s="3">
        <v>292</v>
      </c>
      <c r="O397" s="3">
        <v>440</v>
      </c>
      <c r="P397" s="3">
        <v>27465</v>
      </c>
      <c r="Q397" s="3">
        <v>1843</v>
      </c>
      <c r="R397" s="4">
        <v>5.96</v>
      </c>
      <c r="S397" s="6">
        <f>GlowNestSocialTable[[#This Row],[Link Clicks]]/GlowNestSocialTable[[#This Row],[Reach]]</f>
        <v>1.4227510832309383E-2</v>
      </c>
    </row>
    <row r="398" spans="1:19">
      <c r="A398" t="s">
        <v>434</v>
      </c>
      <c r="B398" s="2">
        <v>45897</v>
      </c>
      <c r="C398" t="s">
        <v>19</v>
      </c>
      <c r="D398" t="s">
        <v>30</v>
      </c>
      <c r="E398" t="s">
        <v>27</v>
      </c>
      <c r="F398" t="s">
        <v>31</v>
      </c>
      <c r="G398" t="s">
        <v>23</v>
      </c>
      <c r="H398" s="3">
        <v>70973</v>
      </c>
      <c r="I398" s="3">
        <v>32603</v>
      </c>
      <c r="J398" s="3">
        <v>29851</v>
      </c>
      <c r="K398" s="3">
        <v>946</v>
      </c>
      <c r="L398" s="3">
        <v>103</v>
      </c>
      <c r="M398" s="3">
        <v>136</v>
      </c>
      <c r="N398" s="3">
        <v>209</v>
      </c>
      <c r="O398" s="3">
        <v>396</v>
      </c>
      <c r="P398" s="3"/>
      <c r="Q398" s="3">
        <v>1394</v>
      </c>
      <c r="R398" s="4">
        <v>4.67</v>
      </c>
      <c r="S398" s="6">
        <f>GlowNestSocialTable[[#This Row],[Link Clicks]]/GlowNestSocialTable[[#This Row],[Reach]]</f>
        <v>1.326588723995846E-2</v>
      </c>
    </row>
    <row r="399" spans="1:19">
      <c r="A399" t="s">
        <v>435</v>
      </c>
      <c r="B399" s="2">
        <v>45898</v>
      </c>
      <c r="C399" t="s">
        <v>33</v>
      </c>
      <c r="D399" t="s">
        <v>37</v>
      </c>
      <c r="E399" t="s">
        <v>49</v>
      </c>
      <c r="F399" t="s">
        <v>28</v>
      </c>
      <c r="G399" t="s">
        <v>38</v>
      </c>
      <c r="H399" s="3">
        <v>35312</v>
      </c>
      <c r="I399" s="3">
        <v>20407</v>
      </c>
      <c r="J399" s="3">
        <v>15236</v>
      </c>
      <c r="K399" s="3">
        <v>542</v>
      </c>
      <c r="L399" s="3">
        <v>92</v>
      </c>
      <c r="M399" s="3">
        <v>71</v>
      </c>
      <c r="N399" s="3">
        <v>25</v>
      </c>
      <c r="O399" s="3">
        <v>191</v>
      </c>
      <c r="P399" s="3"/>
      <c r="Q399" s="3">
        <v>730</v>
      </c>
      <c r="R399" s="4">
        <v>4.79</v>
      </c>
      <c r="S399" s="6">
        <f>GlowNestSocialTable[[#This Row],[Link Clicks]]/GlowNestSocialTable[[#This Row],[Reach]]</f>
        <v>1.2536098713573116E-2</v>
      </c>
    </row>
    <row r="400" spans="1:19">
      <c r="A400" t="s">
        <v>436</v>
      </c>
      <c r="B400" s="2">
        <v>45898</v>
      </c>
      <c r="C400" t="s">
        <v>36</v>
      </c>
      <c r="D400" t="s">
        <v>37</v>
      </c>
      <c r="E400" t="s">
        <v>46</v>
      </c>
      <c r="F400" t="s">
        <v>44</v>
      </c>
      <c r="G400" t="s">
        <v>23</v>
      </c>
      <c r="H400" s="3">
        <v>89192</v>
      </c>
      <c r="I400" s="3">
        <v>52804</v>
      </c>
      <c r="J400" s="3">
        <v>41201</v>
      </c>
      <c r="K400" s="3">
        <v>632</v>
      </c>
      <c r="L400" s="3">
        <v>127</v>
      </c>
      <c r="M400" s="3">
        <v>66</v>
      </c>
      <c r="N400" s="3">
        <v>198</v>
      </c>
      <c r="O400" s="3">
        <v>200</v>
      </c>
      <c r="P400" s="3"/>
      <c r="Q400" s="3">
        <v>1023</v>
      </c>
      <c r="R400" s="4">
        <v>2.48</v>
      </c>
      <c r="S400" s="6">
        <f>GlowNestSocialTable[[#This Row],[Link Clicks]]/GlowNestSocialTable[[#This Row],[Reach]]</f>
        <v>4.8542511104099411E-3</v>
      </c>
    </row>
    <row r="401" spans="1:19">
      <c r="A401" t="s">
        <v>437</v>
      </c>
      <c r="B401" s="2">
        <v>45899</v>
      </c>
      <c r="C401" t="s">
        <v>33</v>
      </c>
      <c r="D401" t="s">
        <v>37</v>
      </c>
      <c r="E401" t="s">
        <v>25</v>
      </c>
      <c r="F401" t="s">
        <v>31</v>
      </c>
      <c r="G401" t="s">
        <v>23</v>
      </c>
      <c r="H401" s="3">
        <v>34276</v>
      </c>
      <c r="I401" s="3">
        <v>9188</v>
      </c>
      <c r="J401" s="3">
        <v>7763</v>
      </c>
      <c r="K401" s="3">
        <v>121</v>
      </c>
      <c r="L401" s="3">
        <v>17</v>
      </c>
      <c r="M401" s="3">
        <v>21</v>
      </c>
      <c r="N401" s="3">
        <v>25</v>
      </c>
      <c r="O401" s="3">
        <v>66</v>
      </c>
      <c r="P401" s="3"/>
      <c r="Q401" s="3">
        <v>184</v>
      </c>
      <c r="R401" s="4">
        <v>2.37</v>
      </c>
      <c r="S401" s="6">
        <f>GlowNestSocialTable[[#This Row],[Link Clicks]]/GlowNestSocialTable[[#This Row],[Reach]]</f>
        <v>8.501867834600026E-3</v>
      </c>
    </row>
    <row r="402" spans="1:19">
      <c r="A402" t="s">
        <v>438</v>
      </c>
      <c r="B402" s="2">
        <v>45899</v>
      </c>
      <c r="C402" t="s">
        <v>19</v>
      </c>
      <c r="D402" t="s">
        <v>37</v>
      </c>
      <c r="E402" t="s">
        <v>46</v>
      </c>
      <c r="F402" t="s">
        <v>22</v>
      </c>
      <c r="G402" t="s">
        <v>23</v>
      </c>
      <c r="H402" s="3">
        <v>71628</v>
      </c>
      <c r="I402" s="3">
        <v>27662</v>
      </c>
      <c r="J402" s="3">
        <v>24782</v>
      </c>
      <c r="K402" s="3">
        <v>988</v>
      </c>
      <c r="L402" s="3">
        <v>171</v>
      </c>
      <c r="M402" s="3">
        <v>135</v>
      </c>
      <c r="N402" s="3">
        <v>235</v>
      </c>
      <c r="O402" s="3">
        <v>371</v>
      </c>
      <c r="P402" s="3"/>
      <c r="Q402" s="3">
        <v>1529</v>
      </c>
      <c r="R402" s="4">
        <v>6.17</v>
      </c>
      <c r="S402" s="6">
        <f>GlowNestSocialTable[[#This Row],[Link Clicks]]/GlowNestSocialTable[[#This Row],[Reach]]</f>
        <v>1.4970543136147204E-2</v>
      </c>
    </row>
    <row r="403" spans="1:19">
      <c r="A403" t="s">
        <v>439</v>
      </c>
      <c r="B403" s="2">
        <v>45900</v>
      </c>
      <c r="C403" t="s">
        <v>36</v>
      </c>
      <c r="D403" t="s">
        <v>30</v>
      </c>
      <c r="E403" t="s">
        <v>46</v>
      </c>
      <c r="F403" t="s">
        <v>22</v>
      </c>
      <c r="G403" t="s">
        <v>235</v>
      </c>
      <c r="H403" s="3">
        <v>90663</v>
      </c>
      <c r="I403" s="3">
        <v>36924</v>
      </c>
      <c r="J403" s="3">
        <v>28417</v>
      </c>
      <c r="K403" s="3">
        <v>350</v>
      </c>
      <c r="L403" s="3">
        <v>44</v>
      </c>
      <c r="M403" s="3">
        <v>35</v>
      </c>
      <c r="N403" s="3">
        <v>82</v>
      </c>
      <c r="O403" s="3">
        <v>159</v>
      </c>
      <c r="P403" s="3"/>
      <c r="Q403" s="3">
        <v>511</v>
      </c>
      <c r="R403" s="4">
        <v>1.8</v>
      </c>
      <c r="S403" s="6">
        <f>GlowNestSocialTable[[#This Row],[Link Clicks]]/GlowNestSocialTable[[#This Row],[Reach]]</f>
        <v>5.5952422845479818E-3</v>
      </c>
    </row>
    <row r="404" spans="1:19">
      <c r="A404" t="s">
        <v>440</v>
      </c>
      <c r="B404" s="2">
        <v>45901</v>
      </c>
      <c r="C404" t="s">
        <v>36</v>
      </c>
      <c r="D404" t="s">
        <v>37</v>
      </c>
      <c r="E404" t="s">
        <v>25</v>
      </c>
      <c r="F404" t="s">
        <v>22</v>
      </c>
      <c r="G404" t="s">
        <v>23</v>
      </c>
      <c r="H404" s="3">
        <v>87832</v>
      </c>
      <c r="I404" s="3">
        <v>46300</v>
      </c>
      <c r="J404" s="3">
        <v>33195</v>
      </c>
      <c r="K404" s="3">
        <v>352</v>
      </c>
      <c r="L404" s="3">
        <v>37</v>
      </c>
      <c r="M404" s="3">
        <v>50</v>
      </c>
      <c r="N404" s="3">
        <v>42</v>
      </c>
      <c r="O404" s="3">
        <v>136</v>
      </c>
      <c r="P404" s="3"/>
      <c r="Q404" s="3">
        <v>481</v>
      </c>
      <c r="R404" s="4">
        <v>1.45</v>
      </c>
      <c r="S404" s="6">
        <f>GlowNestSocialTable[[#This Row],[Link Clicks]]/GlowNestSocialTable[[#This Row],[Reach]]</f>
        <v>4.0970025606266005E-3</v>
      </c>
    </row>
    <row r="405" spans="1:19">
      <c r="A405" t="s">
        <v>441</v>
      </c>
      <c r="B405" s="2">
        <v>45901</v>
      </c>
      <c r="C405" t="s">
        <v>19</v>
      </c>
      <c r="D405" t="s">
        <v>30</v>
      </c>
      <c r="E405" t="s">
        <v>49</v>
      </c>
      <c r="F405" t="s">
        <v>28</v>
      </c>
      <c r="G405" t="s">
        <v>23</v>
      </c>
      <c r="H405" s="3">
        <v>73642</v>
      </c>
      <c r="I405" s="3">
        <v>25528</v>
      </c>
      <c r="J405" s="3">
        <v>17609</v>
      </c>
      <c r="K405" s="3">
        <v>556</v>
      </c>
      <c r="L405" s="3">
        <v>78</v>
      </c>
      <c r="M405" s="3">
        <v>47</v>
      </c>
      <c r="N405" s="3">
        <v>74</v>
      </c>
      <c r="O405" s="3">
        <v>139</v>
      </c>
      <c r="P405" s="3"/>
      <c r="Q405" s="3">
        <v>755</v>
      </c>
      <c r="R405" s="4">
        <v>4.29</v>
      </c>
      <c r="S405" s="6">
        <f>GlowNestSocialTable[[#This Row],[Link Clicks]]/GlowNestSocialTable[[#This Row],[Reach]]</f>
        <v>7.8936907263331257E-3</v>
      </c>
    </row>
    <row r="406" spans="1:19">
      <c r="A406" t="s">
        <v>442</v>
      </c>
      <c r="B406" s="2">
        <v>45902</v>
      </c>
      <c r="C406" t="s">
        <v>33</v>
      </c>
      <c r="D406" t="s">
        <v>30</v>
      </c>
      <c r="E406" t="s">
        <v>49</v>
      </c>
      <c r="F406" t="s">
        <v>42</v>
      </c>
      <c r="G406" t="s">
        <v>23</v>
      </c>
      <c r="H406" s="3">
        <v>33638</v>
      </c>
      <c r="I406" s="3">
        <v>7593</v>
      </c>
      <c r="J406" s="3">
        <v>6099</v>
      </c>
      <c r="K406" s="3">
        <v>140</v>
      </c>
      <c r="L406" s="3">
        <v>19</v>
      </c>
      <c r="M406" s="3">
        <v>17</v>
      </c>
      <c r="N406" s="3">
        <v>30</v>
      </c>
      <c r="O406" s="3">
        <v>54</v>
      </c>
      <c r="P406" s="3"/>
      <c r="Q406" s="3">
        <v>206</v>
      </c>
      <c r="R406" s="4">
        <v>3.38</v>
      </c>
      <c r="S406" s="6">
        <f>GlowNestSocialTable[[#This Row],[Link Clicks]]/GlowNestSocialTable[[#This Row],[Reach]]</f>
        <v>8.8539104771273979E-3</v>
      </c>
    </row>
    <row r="407" spans="1:19">
      <c r="A407" t="s">
        <v>443</v>
      </c>
      <c r="B407" s="2">
        <v>45902</v>
      </c>
      <c r="C407" t="s">
        <v>36</v>
      </c>
      <c r="D407" t="s">
        <v>30</v>
      </c>
      <c r="E407" t="s">
        <v>27</v>
      </c>
      <c r="F407" t="s">
        <v>31</v>
      </c>
      <c r="G407" t="s">
        <v>38</v>
      </c>
      <c r="H407" s="3">
        <v>90123</v>
      </c>
      <c r="I407" s="3">
        <v>52064</v>
      </c>
      <c r="J407" s="3">
        <v>46903</v>
      </c>
      <c r="K407" s="3">
        <v>678</v>
      </c>
      <c r="L407" s="3">
        <v>95</v>
      </c>
      <c r="M407" s="3">
        <v>112</v>
      </c>
      <c r="N407" s="3">
        <v>209</v>
      </c>
      <c r="O407" s="3">
        <v>223</v>
      </c>
      <c r="P407" s="3"/>
      <c r="Q407" s="3">
        <v>1094</v>
      </c>
      <c r="R407" s="4">
        <v>2.33</v>
      </c>
      <c r="S407" s="6">
        <f>GlowNestSocialTable[[#This Row],[Link Clicks]]/GlowNestSocialTable[[#This Row],[Reach]]</f>
        <v>4.7544933159925805E-3</v>
      </c>
    </row>
    <row r="408" spans="1:19">
      <c r="A408" t="s">
        <v>444</v>
      </c>
      <c r="B408" s="2">
        <v>45903</v>
      </c>
      <c r="C408" t="s">
        <v>33</v>
      </c>
      <c r="D408" t="s">
        <v>20</v>
      </c>
      <c r="E408" t="s">
        <v>46</v>
      </c>
      <c r="F408" t="s">
        <v>22</v>
      </c>
      <c r="G408" t="s">
        <v>38</v>
      </c>
      <c r="H408" s="3">
        <v>33025</v>
      </c>
      <c r="I408" s="3">
        <v>25840</v>
      </c>
      <c r="J408" s="3">
        <v>16731</v>
      </c>
      <c r="K408" s="3">
        <v>638</v>
      </c>
      <c r="L408" s="3">
        <v>106</v>
      </c>
      <c r="M408" s="3">
        <v>55</v>
      </c>
      <c r="N408" s="3">
        <v>150</v>
      </c>
      <c r="O408" s="3">
        <v>197</v>
      </c>
      <c r="P408" s="3">
        <v>13767</v>
      </c>
      <c r="Q408" s="3">
        <v>949</v>
      </c>
      <c r="R408" s="4">
        <v>5.67</v>
      </c>
      <c r="S408" s="6">
        <f>GlowNestSocialTable[[#This Row],[Link Clicks]]/GlowNestSocialTable[[#This Row],[Reach]]</f>
        <v>1.1774550236088697E-2</v>
      </c>
    </row>
    <row r="409" spans="1:19">
      <c r="A409" t="s">
        <v>445</v>
      </c>
      <c r="B409" s="2">
        <v>45904</v>
      </c>
      <c r="C409" t="s">
        <v>19</v>
      </c>
      <c r="D409" t="s">
        <v>30</v>
      </c>
      <c r="E409" t="s">
        <v>21</v>
      </c>
      <c r="F409" t="s">
        <v>44</v>
      </c>
      <c r="G409" t="s">
        <v>23</v>
      </c>
      <c r="H409" s="3">
        <v>74500</v>
      </c>
      <c r="I409" s="3">
        <v>29652</v>
      </c>
      <c r="J409" s="3">
        <v>22099</v>
      </c>
      <c r="K409" s="3">
        <v>582</v>
      </c>
      <c r="L409" s="3">
        <v>64</v>
      </c>
      <c r="M409" s="3">
        <v>58</v>
      </c>
      <c r="N409" s="3">
        <v>143</v>
      </c>
      <c r="O409" s="3">
        <v>240</v>
      </c>
      <c r="P409" s="3"/>
      <c r="Q409" s="3">
        <v>847</v>
      </c>
      <c r="R409" s="4">
        <v>3.83</v>
      </c>
      <c r="S409" s="6">
        <f>GlowNestSocialTable[[#This Row],[Link Clicks]]/GlowNestSocialTable[[#This Row],[Reach]]</f>
        <v>1.0860219919453368E-2</v>
      </c>
    </row>
    <row r="410" spans="1:19">
      <c r="A410" t="s">
        <v>446</v>
      </c>
      <c r="B410" s="2">
        <v>45904</v>
      </c>
      <c r="C410" t="s">
        <v>19</v>
      </c>
      <c r="D410" t="s">
        <v>37</v>
      </c>
      <c r="E410" t="s">
        <v>27</v>
      </c>
      <c r="F410" t="s">
        <v>28</v>
      </c>
      <c r="G410" t="s">
        <v>23</v>
      </c>
      <c r="H410" s="3">
        <v>73484</v>
      </c>
      <c r="I410" s="3">
        <v>37400</v>
      </c>
      <c r="J410" s="3">
        <v>26303</v>
      </c>
      <c r="K410" s="3">
        <v>1326</v>
      </c>
      <c r="L410" s="3">
        <v>182</v>
      </c>
      <c r="M410" s="3">
        <v>127</v>
      </c>
      <c r="N410" s="3">
        <v>721</v>
      </c>
      <c r="O410" s="3">
        <v>414</v>
      </c>
      <c r="P410" s="3"/>
      <c r="Q410" s="3">
        <v>2356</v>
      </c>
      <c r="R410" s="4">
        <v>8.9600000000000009</v>
      </c>
      <c r="S410" s="6">
        <f>GlowNestSocialTable[[#This Row],[Link Clicks]]/GlowNestSocialTable[[#This Row],[Reach]]</f>
        <v>1.5739649469642247E-2</v>
      </c>
    </row>
    <row r="411" spans="1:19">
      <c r="A411" t="s">
        <v>447</v>
      </c>
      <c r="B411" s="2">
        <v>45905</v>
      </c>
      <c r="C411" t="s">
        <v>19</v>
      </c>
      <c r="D411" t="s">
        <v>30</v>
      </c>
      <c r="E411" t="s">
        <v>49</v>
      </c>
      <c r="F411" t="s">
        <v>42</v>
      </c>
      <c r="G411" t="s">
        <v>23</v>
      </c>
      <c r="H411" s="3">
        <v>74663</v>
      </c>
      <c r="I411" s="3">
        <v>33717</v>
      </c>
      <c r="J411" s="3">
        <v>22074</v>
      </c>
      <c r="K411" s="3">
        <v>928</v>
      </c>
      <c r="L411" s="3">
        <v>113</v>
      </c>
      <c r="M411" s="3">
        <v>113</v>
      </c>
      <c r="N411" s="3">
        <v>72</v>
      </c>
      <c r="O411" s="3">
        <v>189</v>
      </c>
      <c r="P411" s="3"/>
      <c r="Q411" s="3">
        <v>1226</v>
      </c>
      <c r="R411" s="4">
        <v>5.55</v>
      </c>
      <c r="S411" s="6">
        <f>GlowNestSocialTable[[#This Row],[Link Clicks]]/GlowNestSocialTable[[#This Row],[Reach]]</f>
        <v>8.5621092688230489E-3</v>
      </c>
    </row>
    <row r="412" spans="1:19">
      <c r="A412" t="s">
        <v>448</v>
      </c>
      <c r="B412" s="2">
        <v>45905</v>
      </c>
      <c r="C412" t="s">
        <v>36</v>
      </c>
      <c r="D412" t="s">
        <v>34</v>
      </c>
      <c r="E412" t="s">
        <v>25</v>
      </c>
      <c r="F412" t="s">
        <v>44</v>
      </c>
      <c r="G412" t="s">
        <v>23</v>
      </c>
      <c r="H412" s="3">
        <v>87285</v>
      </c>
      <c r="I412" s="3">
        <v>47617</v>
      </c>
      <c r="J412" s="3">
        <v>30849</v>
      </c>
      <c r="K412" s="3">
        <v>224</v>
      </c>
      <c r="L412" s="3">
        <v>25</v>
      </c>
      <c r="M412" s="3">
        <v>31</v>
      </c>
      <c r="N412" s="3">
        <v>8</v>
      </c>
      <c r="O412" s="3">
        <v>101</v>
      </c>
      <c r="P412" s="3"/>
      <c r="Q412" s="3">
        <v>288</v>
      </c>
      <c r="R412" s="4">
        <v>0.93</v>
      </c>
      <c r="S412" s="6">
        <f>GlowNestSocialTable[[#This Row],[Link Clicks]]/GlowNestSocialTable[[#This Row],[Reach]]</f>
        <v>3.2740121235696456E-3</v>
      </c>
    </row>
    <row r="413" spans="1:19">
      <c r="A413" t="s">
        <v>449</v>
      </c>
      <c r="B413" s="2">
        <v>45906</v>
      </c>
      <c r="C413" t="s">
        <v>36</v>
      </c>
      <c r="D413" t="s">
        <v>34</v>
      </c>
      <c r="E413" t="s">
        <v>49</v>
      </c>
      <c r="F413" t="s">
        <v>31</v>
      </c>
      <c r="G413" t="s">
        <v>23</v>
      </c>
      <c r="H413" s="3">
        <v>89238</v>
      </c>
      <c r="I413" s="3">
        <v>44728</v>
      </c>
      <c r="J413" s="3">
        <v>37865</v>
      </c>
      <c r="K413" s="3">
        <v>490</v>
      </c>
      <c r="L413" s="3">
        <v>95</v>
      </c>
      <c r="M413" s="3">
        <v>85</v>
      </c>
      <c r="N413" s="3">
        <v>46</v>
      </c>
      <c r="O413" s="3">
        <v>184</v>
      </c>
      <c r="P413" s="3"/>
      <c r="Q413" s="3">
        <v>716</v>
      </c>
      <c r="R413" s="4">
        <v>1.89</v>
      </c>
      <c r="S413" s="6">
        <f>GlowNestSocialTable[[#This Row],[Link Clicks]]/GlowNestSocialTable[[#This Row],[Reach]]</f>
        <v>4.8593688102469296E-3</v>
      </c>
    </row>
    <row r="414" spans="1:19">
      <c r="A414" t="s">
        <v>450</v>
      </c>
      <c r="B414" s="2">
        <v>45907</v>
      </c>
      <c r="C414" t="s">
        <v>36</v>
      </c>
      <c r="D414" t="s">
        <v>30</v>
      </c>
      <c r="E414" t="s">
        <v>27</v>
      </c>
      <c r="F414" t="s">
        <v>42</v>
      </c>
      <c r="G414" t="s">
        <v>23</v>
      </c>
      <c r="H414" s="3">
        <v>87375</v>
      </c>
      <c r="I414" s="3">
        <v>52963</v>
      </c>
      <c r="J414" s="3">
        <v>36870</v>
      </c>
      <c r="K414" s="3">
        <v>532</v>
      </c>
      <c r="L414" s="3">
        <v>57</v>
      </c>
      <c r="M414" s="3">
        <v>84</v>
      </c>
      <c r="N414" s="3">
        <v>110</v>
      </c>
      <c r="O414" s="3">
        <v>235</v>
      </c>
      <c r="P414" s="3"/>
      <c r="Q414" s="3">
        <v>783</v>
      </c>
      <c r="R414" s="4">
        <v>2.12</v>
      </c>
      <c r="S414" s="6">
        <f>GlowNestSocialTable[[#This Row],[Link Clicks]]/GlowNestSocialTable[[#This Row],[Reach]]</f>
        <v>6.3737455926227288E-3</v>
      </c>
    </row>
    <row r="415" spans="1:19">
      <c r="A415" t="s">
        <v>451</v>
      </c>
      <c r="B415" s="2">
        <v>45907</v>
      </c>
      <c r="C415" t="s">
        <v>36</v>
      </c>
      <c r="D415" t="s">
        <v>20</v>
      </c>
      <c r="E415" t="s">
        <v>46</v>
      </c>
      <c r="F415" t="s">
        <v>42</v>
      </c>
      <c r="G415" t="s">
        <v>38</v>
      </c>
      <c r="H415" s="3">
        <v>90288</v>
      </c>
      <c r="I415" s="3">
        <v>110358</v>
      </c>
      <c r="J415" s="3">
        <v>80887</v>
      </c>
      <c r="K415" s="3">
        <v>1277</v>
      </c>
      <c r="L415" s="3">
        <v>200</v>
      </c>
      <c r="M415" s="3">
        <v>166</v>
      </c>
      <c r="N415" s="3">
        <v>148</v>
      </c>
      <c r="O415" s="3">
        <v>348</v>
      </c>
      <c r="P415" s="3">
        <v>60189</v>
      </c>
      <c r="Q415" s="3">
        <v>1791</v>
      </c>
      <c r="R415" s="4">
        <v>2.21</v>
      </c>
      <c r="S415" s="6">
        <f>GlowNestSocialTable[[#This Row],[Link Clicks]]/GlowNestSocialTable[[#This Row],[Reach]]</f>
        <v>4.3022982679540595E-3</v>
      </c>
    </row>
    <row r="416" spans="1:19">
      <c r="A416" t="s">
        <v>452</v>
      </c>
      <c r="B416" s="2">
        <v>45908</v>
      </c>
      <c r="C416" t="s">
        <v>19</v>
      </c>
      <c r="D416" t="s">
        <v>37</v>
      </c>
      <c r="E416" t="s">
        <v>27</v>
      </c>
      <c r="F416" t="s">
        <v>42</v>
      </c>
      <c r="G416" t="s">
        <v>23</v>
      </c>
      <c r="H416" s="3">
        <v>73206</v>
      </c>
      <c r="I416" s="3">
        <v>41100</v>
      </c>
      <c r="J416" s="3">
        <v>30594</v>
      </c>
      <c r="K416" s="3">
        <v>1330</v>
      </c>
      <c r="L416" s="3">
        <v>164</v>
      </c>
      <c r="M416" s="3">
        <v>181</v>
      </c>
      <c r="N416" s="3">
        <v>586</v>
      </c>
      <c r="O416" s="3">
        <v>314</v>
      </c>
      <c r="P416" s="3"/>
      <c r="Q416" s="3">
        <v>2261</v>
      </c>
      <c r="R416" s="4">
        <v>7.39</v>
      </c>
      <c r="S416" s="6">
        <f>GlowNestSocialTable[[#This Row],[Link Clicks]]/GlowNestSocialTable[[#This Row],[Reach]]</f>
        <v>1.0263450349741779E-2</v>
      </c>
    </row>
    <row r="417" spans="1:19">
      <c r="A417" t="s">
        <v>453</v>
      </c>
      <c r="B417" s="2">
        <v>45908</v>
      </c>
      <c r="C417" t="s">
        <v>19</v>
      </c>
      <c r="D417" t="s">
        <v>37</v>
      </c>
      <c r="E417" t="s">
        <v>21</v>
      </c>
      <c r="F417" t="s">
        <v>42</v>
      </c>
      <c r="G417" t="s">
        <v>38</v>
      </c>
      <c r="H417" s="3">
        <v>74655</v>
      </c>
      <c r="I417" s="3">
        <v>62377</v>
      </c>
      <c r="J417" s="3">
        <v>44073</v>
      </c>
      <c r="K417" s="3">
        <v>1985</v>
      </c>
      <c r="L417" s="3">
        <v>330</v>
      </c>
      <c r="M417" s="3">
        <v>338</v>
      </c>
      <c r="N417" s="3">
        <v>434</v>
      </c>
      <c r="O417" s="3">
        <v>518</v>
      </c>
      <c r="P417" s="3"/>
      <c r="Q417" s="3">
        <v>3087</v>
      </c>
      <c r="R417" s="4">
        <v>7</v>
      </c>
      <c r="S417" s="6">
        <f>GlowNestSocialTable[[#This Row],[Link Clicks]]/GlowNestSocialTable[[#This Row],[Reach]]</f>
        <v>1.1753227599664193E-2</v>
      </c>
    </row>
    <row r="418" spans="1:19">
      <c r="A418" t="s">
        <v>454</v>
      </c>
      <c r="B418" s="2">
        <v>45909</v>
      </c>
      <c r="C418" t="s">
        <v>36</v>
      </c>
      <c r="D418" t="s">
        <v>20</v>
      </c>
      <c r="E418" t="s">
        <v>21</v>
      </c>
      <c r="F418" t="s">
        <v>31</v>
      </c>
      <c r="G418" t="s">
        <v>38</v>
      </c>
      <c r="H418" s="3">
        <v>89537</v>
      </c>
      <c r="I418" s="3">
        <v>74395</v>
      </c>
      <c r="J418" s="3">
        <v>65700</v>
      </c>
      <c r="K418" s="3">
        <v>1570</v>
      </c>
      <c r="L418" s="3">
        <v>215</v>
      </c>
      <c r="M418" s="3">
        <v>199</v>
      </c>
      <c r="N418" s="3">
        <v>137</v>
      </c>
      <c r="O418" s="3">
        <v>253</v>
      </c>
      <c r="P418" s="3">
        <v>48096</v>
      </c>
      <c r="Q418" s="3">
        <v>2121</v>
      </c>
      <c r="R418" s="4">
        <v>3.23</v>
      </c>
      <c r="S418" s="6">
        <f>GlowNestSocialTable[[#This Row],[Link Clicks]]/GlowNestSocialTable[[#This Row],[Reach]]</f>
        <v>3.8508371385083712E-3</v>
      </c>
    </row>
    <row r="419" spans="1:19">
      <c r="A419" t="s">
        <v>455</v>
      </c>
      <c r="B419" s="2">
        <v>45910</v>
      </c>
      <c r="C419" t="s">
        <v>36</v>
      </c>
      <c r="D419" t="s">
        <v>20</v>
      </c>
      <c r="E419" t="s">
        <v>25</v>
      </c>
      <c r="F419" t="s">
        <v>31</v>
      </c>
      <c r="G419" t="s">
        <v>38</v>
      </c>
      <c r="H419" s="3">
        <v>89342</v>
      </c>
      <c r="I419" s="3">
        <v>97391</v>
      </c>
      <c r="J419" s="3">
        <v>76250</v>
      </c>
      <c r="K419" s="3">
        <v>818</v>
      </c>
      <c r="L419" s="3">
        <v>143</v>
      </c>
      <c r="M419" s="3">
        <v>112</v>
      </c>
      <c r="N419" s="3">
        <v>123</v>
      </c>
      <c r="O419" s="3">
        <v>285</v>
      </c>
      <c r="P419" s="3">
        <v>54076</v>
      </c>
      <c r="Q419" s="3">
        <v>1196</v>
      </c>
      <c r="R419" s="4">
        <v>1.57</v>
      </c>
      <c r="S419" s="6">
        <f>GlowNestSocialTable[[#This Row],[Link Clicks]]/GlowNestSocialTable[[#This Row],[Reach]]</f>
        <v>3.7377049180327871E-3</v>
      </c>
    </row>
    <row r="420" spans="1:19">
      <c r="A420" t="s">
        <v>456</v>
      </c>
      <c r="B420" s="2">
        <v>45910</v>
      </c>
      <c r="C420" t="s">
        <v>33</v>
      </c>
      <c r="D420" t="s">
        <v>30</v>
      </c>
      <c r="E420" t="s">
        <v>21</v>
      </c>
      <c r="F420" t="s">
        <v>28</v>
      </c>
      <c r="G420" t="s">
        <v>23</v>
      </c>
      <c r="H420" s="3">
        <v>34989</v>
      </c>
      <c r="I420" s="3">
        <v>9570</v>
      </c>
      <c r="J420" s="3">
        <v>8461</v>
      </c>
      <c r="K420" s="3">
        <v>161</v>
      </c>
      <c r="L420" s="3">
        <v>20</v>
      </c>
      <c r="M420" s="3">
        <v>23</v>
      </c>
      <c r="N420" s="3">
        <v>34</v>
      </c>
      <c r="O420" s="3">
        <v>73</v>
      </c>
      <c r="P420" s="3"/>
      <c r="Q420" s="3">
        <v>238</v>
      </c>
      <c r="R420" s="4">
        <v>2.81</v>
      </c>
      <c r="S420" s="6">
        <f>GlowNestSocialTable[[#This Row],[Link Clicks]]/GlowNestSocialTable[[#This Row],[Reach]]</f>
        <v>8.6278217704763033E-3</v>
      </c>
    </row>
    <row r="421" spans="1:19">
      <c r="A421" t="s">
        <v>457</v>
      </c>
      <c r="B421" s="2">
        <v>45911</v>
      </c>
      <c r="C421" t="s">
        <v>33</v>
      </c>
      <c r="D421" t="s">
        <v>30</v>
      </c>
      <c r="E421" t="s">
        <v>49</v>
      </c>
      <c r="F421" t="s">
        <v>44</v>
      </c>
      <c r="G421" t="s">
        <v>23</v>
      </c>
      <c r="H421" s="3">
        <v>34501</v>
      </c>
      <c r="I421" s="3">
        <v>14389</v>
      </c>
      <c r="J421" s="3">
        <v>9908</v>
      </c>
      <c r="K421" s="3">
        <v>245</v>
      </c>
      <c r="L421" s="3">
        <v>41</v>
      </c>
      <c r="M421" s="3">
        <v>37</v>
      </c>
      <c r="N421" s="3">
        <v>23</v>
      </c>
      <c r="O421" s="3">
        <v>96</v>
      </c>
      <c r="P421" s="3"/>
      <c r="Q421" s="3">
        <v>346</v>
      </c>
      <c r="R421" s="4">
        <v>3.49</v>
      </c>
      <c r="S421" s="6">
        <f>GlowNestSocialTable[[#This Row],[Link Clicks]]/GlowNestSocialTable[[#This Row],[Reach]]</f>
        <v>9.6891400888171175E-3</v>
      </c>
    </row>
    <row r="422" spans="1:19">
      <c r="A422" t="s">
        <v>458</v>
      </c>
      <c r="B422" s="2">
        <v>45912</v>
      </c>
      <c r="C422" t="s">
        <v>33</v>
      </c>
      <c r="D422" t="s">
        <v>37</v>
      </c>
      <c r="E422" t="s">
        <v>21</v>
      </c>
      <c r="F422" t="s">
        <v>22</v>
      </c>
      <c r="G422" t="s">
        <v>23</v>
      </c>
      <c r="H422" s="3">
        <v>36110</v>
      </c>
      <c r="I422" s="3">
        <v>13103</v>
      </c>
      <c r="J422" s="3">
        <v>10383</v>
      </c>
      <c r="K422" s="3">
        <v>359</v>
      </c>
      <c r="L422" s="3">
        <v>42</v>
      </c>
      <c r="M422" s="3">
        <v>58</v>
      </c>
      <c r="N422" s="3">
        <v>53</v>
      </c>
      <c r="O422" s="3">
        <v>121</v>
      </c>
      <c r="P422" s="3"/>
      <c r="Q422" s="3">
        <v>512</v>
      </c>
      <c r="R422" s="4">
        <v>4.93</v>
      </c>
      <c r="S422" s="6">
        <f>GlowNestSocialTable[[#This Row],[Link Clicks]]/GlowNestSocialTable[[#This Row],[Reach]]</f>
        <v>1.1653664644129827E-2</v>
      </c>
    </row>
    <row r="423" spans="1:19">
      <c r="A423" t="s">
        <v>459</v>
      </c>
      <c r="B423" s="2">
        <v>45912</v>
      </c>
      <c r="C423" t="s">
        <v>36</v>
      </c>
      <c r="D423" t="s">
        <v>30</v>
      </c>
      <c r="E423" t="s">
        <v>27</v>
      </c>
      <c r="F423" t="s">
        <v>22</v>
      </c>
      <c r="G423" t="s">
        <v>23</v>
      </c>
      <c r="H423" s="3">
        <v>89495</v>
      </c>
      <c r="I423" s="3">
        <v>50250</v>
      </c>
      <c r="J423" s="3">
        <v>38909</v>
      </c>
      <c r="K423" s="3">
        <v>652</v>
      </c>
      <c r="L423" s="3">
        <v>75</v>
      </c>
      <c r="M423" s="3">
        <v>66</v>
      </c>
      <c r="N423" s="3">
        <v>240</v>
      </c>
      <c r="O423" s="3">
        <v>198</v>
      </c>
      <c r="P423" s="3"/>
      <c r="Q423" s="3">
        <v>1033</v>
      </c>
      <c r="R423" s="4">
        <v>2.65</v>
      </c>
      <c r="S423" s="6">
        <f>GlowNestSocialTable[[#This Row],[Link Clicks]]/GlowNestSocialTable[[#This Row],[Reach]]</f>
        <v>5.0887969364414405E-3</v>
      </c>
    </row>
    <row r="424" spans="1:19">
      <c r="A424" t="s">
        <v>461</v>
      </c>
      <c r="B424" s="2">
        <v>45914</v>
      </c>
      <c r="C424" t="s">
        <v>19</v>
      </c>
      <c r="D424" t="s">
        <v>20</v>
      </c>
      <c r="E424" t="s">
        <v>46</v>
      </c>
      <c r="F424" t="s">
        <v>28</v>
      </c>
      <c r="G424" t="s">
        <v>23</v>
      </c>
      <c r="H424" s="3">
        <v>72632</v>
      </c>
      <c r="I424" s="3">
        <v>34638</v>
      </c>
      <c r="J424" s="3">
        <v>26934</v>
      </c>
      <c r="K424" s="3">
        <v>1607</v>
      </c>
      <c r="L424" s="3">
        <v>265</v>
      </c>
      <c r="M424" s="3">
        <v>244</v>
      </c>
      <c r="N424" s="3">
        <v>126</v>
      </c>
      <c r="O424" s="3">
        <v>350</v>
      </c>
      <c r="P424" s="3">
        <v>19760</v>
      </c>
      <c r="Q424" s="3">
        <v>2242</v>
      </c>
      <c r="R424" s="4">
        <v>8.32</v>
      </c>
      <c r="S424" s="6">
        <f>GlowNestSocialTable[[#This Row],[Link Clicks]]/GlowNestSocialTable[[#This Row],[Reach]]</f>
        <v>1.2994727853270958E-2</v>
      </c>
    </row>
    <row r="425" spans="1:19">
      <c r="A425" t="s">
        <v>462</v>
      </c>
      <c r="B425" s="2">
        <v>45915</v>
      </c>
      <c r="C425" t="s">
        <v>36</v>
      </c>
      <c r="D425" t="s">
        <v>20</v>
      </c>
      <c r="E425" t="s">
        <v>46</v>
      </c>
      <c r="F425" t="s">
        <v>44</v>
      </c>
      <c r="G425" t="s">
        <v>23</v>
      </c>
      <c r="H425" s="3">
        <v>86513</v>
      </c>
      <c r="I425" s="3">
        <v>55453</v>
      </c>
      <c r="J425" s="3">
        <v>44645</v>
      </c>
      <c r="K425" s="3">
        <v>799</v>
      </c>
      <c r="L425" s="3">
        <v>119</v>
      </c>
      <c r="M425" s="3">
        <v>104</v>
      </c>
      <c r="N425" s="3">
        <v>220</v>
      </c>
      <c r="O425" s="3">
        <v>305</v>
      </c>
      <c r="P425" s="3">
        <v>26364</v>
      </c>
      <c r="Q425" s="3">
        <v>1242</v>
      </c>
      <c r="R425" s="4">
        <v>2.78</v>
      </c>
      <c r="S425" s="6">
        <f>GlowNestSocialTable[[#This Row],[Link Clicks]]/GlowNestSocialTable[[#This Row],[Reach]]</f>
        <v>6.8316720797401724E-3</v>
      </c>
    </row>
    <row r="426" spans="1:19">
      <c r="A426" t="s">
        <v>463</v>
      </c>
      <c r="B426" s="2">
        <v>45915</v>
      </c>
      <c r="C426" t="s">
        <v>19</v>
      </c>
      <c r="D426" t="s">
        <v>37</v>
      </c>
      <c r="E426" t="s">
        <v>49</v>
      </c>
      <c r="F426" t="s">
        <v>44</v>
      </c>
      <c r="G426" t="s">
        <v>23</v>
      </c>
      <c r="H426" s="3">
        <v>75525</v>
      </c>
      <c r="I426" s="3">
        <v>25050</v>
      </c>
      <c r="J426" s="3">
        <v>22928</v>
      </c>
      <c r="K426" s="3">
        <v>1212</v>
      </c>
      <c r="L426" s="3">
        <v>128</v>
      </c>
      <c r="M426" s="3">
        <v>180</v>
      </c>
      <c r="N426" s="3">
        <v>206</v>
      </c>
      <c r="O426" s="3">
        <v>247</v>
      </c>
      <c r="P426" s="3"/>
      <c r="Q426" s="3">
        <v>1726</v>
      </c>
      <c r="R426" s="4">
        <v>7.53</v>
      </c>
      <c r="S426" s="6">
        <f>GlowNestSocialTable[[#This Row],[Link Clicks]]/GlowNestSocialTable[[#This Row],[Reach]]</f>
        <v>1.0772854152128402E-2</v>
      </c>
    </row>
    <row r="427" spans="1:19">
      <c r="A427" t="s">
        <v>464</v>
      </c>
      <c r="B427" s="2">
        <v>45916</v>
      </c>
      <c r="C427" t="s">
        <v>33</v>
      </c>
      <c r="D427" t="s">
        <v>37</v>
      </c>
      <c r="E427" t="s">
        <v>25</v>
      </c>
      <c r="F427" t="s">
        <v>31</v>
      </c>
      <c r="G427" t="s">
        <v>23</v>
      </c>
      <c r="H427" s="3">
        <v>34386</v>
      </c>
      <c r="I427" s="3">
        <v>8215</v>
      </c>
      <c r="J427" s="3">
        <v>6875</v>
      </c>
      <c r="K427" s="3">
        <v>121</v>
      </c>
      <c r="L427" s="3">
        <v>18</v>
      </c>
      <c r="M427" s="3">
        <v>19</v>
      </c>
      <c r="N427" s="3">
        <v>17</v>
      </c>
      <c r="O427" s="3">
        <v>55</v>
      </c>
      <c r="P427" s="3"/>
      <c r="Q427" s="3">
        <v>175</v>
      </c>
      <c r="R427" s="4">
        <v>2.5499999999999998</v>
      </c>
      <c r="S427" s="6">
        <f>GlowNestSocialTable[[#This Row],[Link Clicks]]/GlowNestSocialTable[[#This Row],[Reach]]</f>
        <v>8.0000000000000002E-3</v>
      </c>
    </row>
    <row r="428" spans="1:19">
      <c r="A428" t="s">
        <v>465</v>
      </c>
      <c r="B428" s="2">
        <v>45916</v>
      </c>
      <c r="C428" t="s">
        <v>36</v>
      </c>
      <c r="D428" t="s">
        <v>37</v>
      </c>
      <c r="E428" t="s">
        <v>27</v>
      </c>
      <c r="F428" t="s">
        <v>44</v>
      </c>
      <c r="G428" t="s">
        <v>23</v>
      </c>
      <c r="H428" s="3">
        <v>89201</v>
      </c>
      <c r="I428" s="3">
        <v>68041</v>
      </c>
      <c r="J428" s="3">
        <v>51532</v>
      </c>
      <c r="K428" s="3">
        <v>1071</v>
      </c>
      <c r="L428" s="3">
        <v>160</v>
      </c>
      <c r="M428" s="3">
        <v>114</v>
      </c>
      <c r="N428" s="3">
        <v>169</v>
      </c>
      <c r="O428" s="3">
        <v>239</v>
      </c>
      <c r="P428" s="3"/>
      <c r="Q428" s="3">
        <v>1514</v>
      </c>
      <c r="R428" s="4">
        <v>2.94</v>
      </c>
      <c r="S428" s="6">
        <f>GlowNestSocialTable[[#This Row],[Link Clicks]]/GlowNestSocialTable[[#This Row],[Reach]]</f>
        <v>4.6378949002561518E-3</v>
      </c>
    </row>
    <row r="429" spans="1:19">
      <c r="A429" t="s">
        <v>466</v>
      </c>
      <c r="B429" s="2">
        <v>45917</v>
      </c>
      <c r="C429" t="s">
        <v>33</v>
      </c>
      <c r="D429" t="s">
        <v>34</v>
      </c>
      <c r="E429" t="s">
        <v>46</v>
      </c>
      <c r="F429" t="s">
        <v>28</v>
      </c>
      <c r="G429" t="s">
        <v>23</v>
      </c>
      <c r="H429" s="3">
        <v>35260</v>
      </c>
      <c r="I429" s="3">
        <v>7522</v>
      </c>
      <c r="J429" s="3">
        <v>6949</v>
      </c>
      <c r="K429" s="3">
        <v>125</v>
      </c>
      <c r="L429" s="3">
        <v>20</v>
      </c>
      <c r="M429" s="3">
        <v>17</v>
      </c>
      <c r="N429" s="3">
        <v>14</v>
      </c>
      <c r="O429" s="3">
        <v>105</v>
      </c>
      <c r="P429" s="3"/>
      <c r="Q429" s="3">
        <v>176</v>
      </c>
      <c r="R429" s="4">
        <v>2.5299999999999998</v>
      </c>
      <c r="S429" s="6">
        <f>GlowNestSocialTable[[#This Row],[Link Clicks]]/GlowNestSocialTable[[#This Row],[Reach]]</f>
        <v>1.5110087782414737E-2</v>
      </c>
    </row>
    <row r="430" spans="1:19">
      <c r="A430" t="s">
        <v>467</v>
      </c>
      <c r="B430" s="2">
        <v>45918</v>
      </c>
      <c r="C430" t="s">
        <v>36</v>
      </c>
      <c r="D430" t="s">
        <v>30</v>
      </c>
      <c r="E430" t="s">
        <v>46</v>
      </c>
      <c r="F430" t="s">
        <v>42</v>
      </c>
      <c r="G430" t="s">
        <v>23</v>
      </c>
      <c r="H430" s="3">
        <v>88259</v>
      </c>
      <c r="I430" s="3">
        <v>45222</v>
      </c>
      <c r="J430" s="3">
        <v>29552</v>
      </c>
      <c r="K430" s="3">
        <v>315</v>
      </c>
      <c r="L430" s="3">
        <v>37</v>
      </c>
      <c r="M430" s="3">
        <v>32</v>
      </c>
      <c r="N430" s="3">
        <v>66</v>
      </c>
      <c r="O430" s="3">
        <v>118</v>
      </c>
      <c r="P430" s="3"/>
      <c r="Q430" s="3">
        <v>450</v>
      </c>
      <c r="R430" s="4">
        <v>1.52</v>
      </c>
      <c r="S430" s="6">
        <f>GlowNestSocialTable[[#This Row],[Link Clicks]]/GlowNestSocialTable[[#This Row],[Reach]]</f>
        <v>3.9929615592853279E-3</v>
      </c>
    </row>
    <row r="431" spans="1:19">
      <c r="A431" t="s">
        <v>468</v>
      </c>
      <c r="B431" s="2">
        <v>45918</v>
      </c>
      <c r="C431" t="s">
        <v>19</v>
      </c>
      <c r="D431" t="s">
        <v>37</v>
      </c>
      <c r="E431" t="s">
        <v>21</v>
      </c>
      <c r="F431" t="s">
        <v>22</v>
      </c>
      <c r="G431" t="s">
        <v>23</v>
      </c>
      <c r="H431" s="3">
        <v>74620</v>
      </c>
      <c r="I431" s="3">
        <v>31895</v>
      </c>
      <c r="J431" s="3">
        <v>29063</v>
      </c>
      <c r="K431" s="3">
        <v>1307</v>
      </c>
      <c r="L431" s="3">
        <v>147</v>
      </c>
      <c r="M431" s="3">
        <v>160</v>
      </c>
      <c r="N431" s="3">
        <v>462</v>
      </c>
      <c r="O431" s="3">
        <v>322</v>
      </c>
      <c r="P431" s="3"/>
      <c r="Q431" s="3">
        <v>2076</v>
      </c>
      <c r="R431" s="4">
        <v>7.14</v>
      </c>
      <c r="S431" s="6">
        <f>GlowNestSocialTable[[#This Row],[Link Clicks]]/GlowNestSocialTable[[#This Row],[Reach]]</f>
        <v>1.1079379279496267E-2</v>
      </c>
    </row>
    <row r="432" spans="1:19">
      <c r="A432" t="s">
        <v>469</v>
      </c>
      <c r="B432" s="2">
        <v>45919</v>
      </c>
      <c r="C432" t="s">
        <v>36</v>
      </c>
      <c r="D432" t="s">
        <v>20</v>
      </c>
      <c r="E432" t="s">
        <v>49</v>
      </c>
      <c r="F432" t="s">
        <v>44</v>
      </c>
      <c r="G432" t="s">
        <v>23</v>
      </c>
      <c r="H432" s="3">
        <v>90944</v>
      </c>
      <c r="I432" s="3">
        <v>68084</v>
      </c>
      <c r="J432" s="3">
        <v>59146</v>
      </c>
      <c r="K432" s="3">
        <v>1420</v>
      </c>
      <c r="L432" s="3">
        <v>214</v>
      </c>
      <c r="M432" s="3">
        <v>156</v>
      </c>
      <c r="N432" s="3">
        <v>576</v>
      </c>
      <c r="O432" s="3">
        <v>240</v>
      </c>
      <c r="P432" s="3">
        <v>53216</v>
      </c>
      <c r="Q432" s="3">
        <v>2366</v>
      </c>
      <c r="R432" s="4">
        <v>4</v>
      </c>
      <c r="S432" s="6">
        <f>GlowNestSocialTable[[#This Row],[Link Clicks]]/GlowNestSocialTable[[#This Row],[Reach]]</f>
        <v>4.0577553849795419E-3</v>
      </c>
    </row>
    <row r="433" spans="1:19">
      <c r="A433" t="s">
        <v>470</v>
      </c>
      <c r="B433" s="2">
        <v>45919</v>
      </c>
      <c r="C433" t="s">
        <v>36</v>
      </c>
      <c r="D433" t="s">
        <v>37</v>
      </c>
      <c r="E433" t="s">
        <v>27</v>
      </c>
      <c r="F433" t="s">
        <v>22</v>
      </c>
      <c r="G433" t="s">
        <v>23</v>
      </c>
      <c r="H433" s="3">
        <v>89596</v>
      </c>
      <c r="I433" s="3">
        <v>53761</v>
      </c>
      <c r="J433" s="3">
        <v>39201</v>
      </c>
      <c r="K433" s="3">
        <v>853</v>
      </c>
      <c r="L433" s="3">
        <v>159</v>
      </c>
      <c r="M433" s="3">
        <v>99</v>
      </c>
      <c r="N433" s="3">
        <v>284</v>
      </c>
      <c r="O433" s="3">
        <v>272</v>
      </c>
      <c r="P433" s="3"/>
      <c r="Q433" s="3">
        <v>1395</v>
      </c>
      <c r="R433" s="4">
        <v>3.56</v>
      </c>
      <c r="S433" s="6">
        <f>GlowNestSocialTable[[#This Row],[Link Clicks]]/GlowNestSocialTable[[#This Row],[Reach]]</f>
        <v>6.9385985051401752E-3</v>
      </c>
    </row>
    <row r="434" spans="1:19">
      <c r="A434" t="s">
        <v>471</v>
      </c>
      <c r="B434" s="2">
        <v>45920</v>
      </c>
      <c r="C434" t="s">
        <v>33</v>
      </c>
      <c r="D434" t="s">
        <v>30</v>
      </c>
      <c r="E434" t="s">
        <v>21</v>
      </c>
      <c r="F434" t="s">
        <v>44</v>
      </c>
      <c r="G434" t="s">
        <v>23</v>
      </c>
      <c r="H434" s="3">
        <v>34388</v>
      </c>
      <c r="I434" s="3">
        <v>12047</v>
      </c>
      <c r="J434" s="3">
        <v>8179</v>
      </c>
      <c r="K434" s="3">
        <v>159</v>
      </c>
      <c r="L434" s="3">
        <v>23</v>
      </c>
      <c r="M434" s="3">
        <v>16</v>
      </c>
      <c r="N434" s="3">
        <v>36</v>
      </c>
      <c r="O434" s="3">
        <v>96</v>
      </c>
      <c r="P434" s="3"/>
      <c r="Q434" s="3">
        <v>234</v>
      </c>
      <c r="R434" s="4">
        <v>2.86</v>
      </c>
      <c r="S434" s="6">
        <f>GlowNestSocialTable[[#This Row],[Link Clicks]]/GlowNestSocialTable[[#This Row],[Reach]]</f>
        <v>1.1737376207360314E-2</v>
      </c>
    </row>
    <row r="435" spans="1:19">
      <c r="A435" t="s">
        <v>472</v>
      </c>
      <c r="B435" s="2">
        <v>45921</v>
      </c>
      <c r="C435" t="s">
        <v>36</v>
      </c>
      <c r="D435" t="s">
        <v>37</v>
      </c>
      <c r="E435" t="s">
        <v>25</v>
      </c>
      <c r="F435" t="s">
        <v>22</v>
      </c>
      <c r="G435" t="s">
        <v>23</v>
      </c>
      <c r="H435" s="3">
        <v>87627</v>
      </c>
      <c r="I435" s="3">
        <v>63732</v>
      </c>
      <c r="J435" s="3">
        <v>43352</v>
      </c>
      <c r="K435" s="3">
        <v>408</v>
      </c>
      <c r="L435" s="3">
        <v>54</v>
      </c>
      <c r="M435" s="3">
        <v>56</v>
      </c>
      <c r="N435" s="3">
        <v>44</v>
      </c>
      <c r="O435" s="3">
        <v>137</v>
      </c>
      <c r="P435" s="3"/>
      <c r="Q435" s="3">
        <v>562</v>
      </c>
      <c r="R435" s="4">
        <v>1.3</v>
      </c>
      <c r="S435" s="6">
        <f>GlowNestSocialTable[[#This Row],[Link Clicks]]/GlowNestSocialTable[[#This Row],[Reach]]</f>
        <v>3.1601771544565419E-3</v>
      </c>
    </row>
    <row r="436" spans="1:19">
      <c r="A436" t="s">
        <v>473</v>
      </c>
      <c r="B436" s="2">
        <v>45921</v>
      </c>
      <c r="C436" t="s">
        <v>19</v>
      </c>
      <c r="D436" t="s">
        <v>30</v>
      </c>
      <c r="E436" t="s">
        <v>46</v>
      </c>
      <c r="F436" t="s">
        <v>22</v>
      </c>
      <c r="G436" t="s">
        <v>38</v>
      </c>
      <c r="H436" s="3">
        <v>73849</v>
      </c>
      <c r="I436" s="3">
        <v>42856</v>
      </c>
      <c r="J436" s="3">
        <v>30130</v>
      </c>
      <c r="K436" s="3">
        <v>894</v>
      </c>
      <c r="L436" s="3">
        <v>168</v>
      </c>
      <c r="M436" s="3">
        <v>103</v>
      </c>
      <c r="N436" s="3">
        <v>137</v>
      </c>
      <c r="O436" s="3">
        <v>386</v>
      </c>
      <c r="P436" s="3"/>
      <c r="Q436" s="3">
        <v>1302</v>
      </c>
      <c r="R436" s="4">
        <v>4.32</v>
      </c>
      <c r="S436" s="6">
        <f>GlowNestSocialTable[[#This Row],[Link Clicks]]/GlowNestSocialTable[[#This Row],[Reach]]</f>
        <v>1.2811151676070361E-2</v>
      </c>
    </row>
    <row r="437" spans="1:19">
      <c r="A437" t="s">
        <v>474</v>
      </c>
      <c r="B437" s="2">
        <v>45922</v>
      </c>
      <c r="C437" t="s">
        <v>36</v>
      </c>
      <c r="D437" t="s">
        <v>30</v>
      </c>
      <c r="E437" t="s">
        <v>21</v>
      </c>
      <c r="G437" t="s">
        <v>23</v>
      </c>
      <c r="H437" s="3">
        <v>89051</v>
      </c>
      <c r="I437" s="3">
        <v>47321</v>
      </c>
      <c r="J437" s="3">
        <v>31679</v>
      </c>
      <c r="K437" s="3">
        <v>526</v>
      </c>
      <c r="L437" s="3">
        <v>92</v>
      </c>
      <c r="M437" s="3">
        <v>54</v>
      </c>
      <c r="N437" s="3">
        <v>39</v>
      </c>
      <c r="O437" s="3">
        <v>117</v>
      </c>
      <c r="P437" s="3"/>
      <c r="Q437" s="3">
        <v>711</v>
      </c>
      <c r="R437" s="4">
        <v>2.2400000000000002</v>
      </c>
      <c r="S437" s="6">
        <f>GlowNestSocialTable[[#This Row],[Link Clicks]]/GlowNestSocialTable[[#This Row],[Reach]]</f>
        <v>3.6932983995706936E-3</v>
      </c>
    </row>
    <row r="438" spans="1:19">
      <c r="A438" t="s">
        <v>475</v>
      </c>
      <c r="B438" s="2">
        <v>45922</v>
      </c>
      <c r="C438" t="s">
        <v>33</v>
      </c>
      <c r="D438" t="s">
        <v>30</v>
      </c>
      <c r="E438" t="s">
        <v>27</v>
      </c>
      <c r="F438" t="s">
        <v>44</v>
      </c>
      <c r="G438" t="s">
        <v>38</v>
      </c>
      <c r="H438" s="3">
        <v>33055</v>
      </c>
      <c r="I438" s="3">
        <v>18030</v>
      </c>
      <c r="J438" s="3">
        <v>15020</v>
      </c>
      <c r="K438" s="3">
        <v>443</v>
      </c>
      <c r="L438" s="3">
        <v>53</v>
      </c>
      <c r="M438" s="3">
        <v>63</v>
      </c>
      <c r="N438" s="3">
        <v>38</v>
      </c>
      <c r="O438" s="3">
        <v>252</v>
      </c>
      <c r="P438" s="3"/>
      <c r="Q438" s="3">
        <v>597</v>
      </c>
      <c r="R438" s="4">
        <v>3.97</v>
      </c>
      <c r="S438" s="6">
        <f>GlowNestSocialTable[[#This Row],[Link Clicks]]/GlowNestSocialTable[[#This Row],[Reach]]</f>
        <v>1.6777629826897469E-2</v>
      </c>
    </row>
    <row r="439" spans="1:19">
      <c r="A439" t="s">
        <v>476</v>
      </c>
      <c r="B439" s="2">
        <v>45923</v>
      </c>
      <c r="C439" t="s">
        <v>19</v>
      </c>
      <c r="D439" t="s">
        <v>30</v>
      </c>
      <c r="E439" t="s">
        <v>25</v>
      </c>
      <c r="F439" t="s">
        <v>28</v>
      </c>
      <c r="G439" t="s">
        <v>23</v>
      </c>
      <c r="H439" s="3">
        <v>75154</v>
      </c>
      <c r="I439" s="3">
        <v>30415</v>
      </c>
      <c r="J439" s="3">
        <v>19949</v>
      </c>
      <c r="K439" s="3">
        <v>482</v>
      </c>
      <c r="L439" s="3">
        <v>83</v>
      </c>
      <c r="M439" s="3">
        <v>69</v>
      </c>
      <c r="N439" s="3">
        <v>53</v>
      </c>
      <c r="O439" s="3">
        <v>168</v>
      </c>
      <c r="P439" s="3"/>
      <c r="Q439" s="3">
        <v>687</v>
      </c>
      <c r="R439" s="4">
        <v>3.44</v>
      </c>
      <c r="S439" s="6">
        <f>GlowNestSocialTable[[#This Row],[Link Clicks]]/GlowNestSocialTable[[#This Row],[Reach]]</f>
        <v>8.4214747606396311E-3</v>
      </c>
    </row>
    <row r="440" spans="1:19">
      <c r="A440" t="s">
        <v>477</v>
      </c>
      <c r="B440" s="2">
        <v>45924</v>
      </c>
      <c r="C440" t="s">
        <v>19</v>
      </c>
      <c r="D440" t="s">
        <v>30</v>
      </c>
      <c r="E440" t="s">
        <v>27</v>
      </c>
      <c r="F440" t="s">
        <v>28</v>
      </c>
      <c r="G440" t="s">
        <v>38</v>
      </c>
      <c r="H440" s="3">
        <v>73986</v>
      </c>
      <c r="I440" s="3">
        <v>51399</v>
      </c>
      <c r="J440" s="3">
        <v>44894</v>
      </c>
      <c r="K440" s="3">
        <v>1433</v>
      </c>
      <c r="L440" s="3">
        <v>228</v>
      </c>
      <c r="M440" s="3">
        <v>166</v>
      </c>
      <c r="N440" s="3">
        <v>135</v>
      </c>
      <c r="O440" s="3">
        <v>484</v>
      </c>
      <c r="P440" s="3"/>
      <c r="Q440" s="3">
        <v>1962</v>
      </c>
      <c r="R440" s="4">
        <v>4.37</v>
      </c>
      <c r="S440" s="6">
        <f>GlowNestSocialTable[[#This Row],[Link Clicks]]/GlowNestSocialTable[[#This Row],[Reach]]</f>
        <v>1.0780950683833029E-2</v>
      </c>
    </row>
    <row r="441" spans="1:19">
      <c r="A441" t="s">
        <v>478</v>
      </c>
      <c r="B441" s="2">
        <v>45924</v>
      </c>
      <c r="C441" t="s">
        <v>33</v>
      </c>
      <c r="D441" t="s">
        <v>37</v>
      </c>
      <c r="E441" t="s">
        <v>46</v>
      </c>
      <c r="F441" t="s">
        <v>31</v>
      </c>
      <c r="G441" t="s">
        <v>38</v>
      </c>
      <c r="H441" s="3">
        <v>34386</v>
      </c>
      <c r="I441" s="3">
        <v>11153</v>
      </c>
      <c r="J441" s="3">
        <v>9342</v>
      </c>
      <c r="K441" s="3">
        <v>278</v>
      </c>
      <c r="L441" s="3">
        <v>40</v>
      </c>
      <c r="M441" s="3">
        <v>40</v>
      </c>
      <c r="N441" s="3">
        <v>77</v>
      </c>
      <c r="O441" s="3">
        <v>171</v>
      </c>
      <c r="P441" s="3"/>
      <c r="Q441" s="3">
        <v>435</v>
      </c>
      <c r="R441" s="4">
        <v>4.66</v>
      </c>
      <c r="S441" s="6">
        <f>GlowNestSocialTable[[#This Row],[Link Clicks]]/GlowNestSocialTable[[#This Row],[Reach]]</f>
        <v>1.8304431599229287E-2</v>
      </c>
    </row>
    <row r="442" spans="1:19">
      <c r="A442" t="s">
        <v>479</v>
      </c>
      <c r="B442" s="2">
        <v>45925</v>
      </c>
      <c r="C442" t="s">
        <v>36</v>
      </c>
      <c r="D442" t="s">
        <v>20</v>
      </c>
      <c r="E442" t="s">
        <v>21</v>
      </c>
      <c r="F442" t="s">
        <v>22</v>
      </c>
      <c r="G442" t="s">
        <v>38</v>
      </c>
      <c r="H442" s="3">
        <v>88463</v>
      </c>
      <c r="I442" s="3">
        <v>96558</v>
      </c>
      <c r="J442" s="3">
        <v>73173</v>
      </c>
      <c r="K442" s="3">
        <v>1685</v>
      </c>
      <c r="L442" s="3">
        <v>219</v>
      </c>
      <c r="M442" s="3">
        <v>272</v>
      </c>
      <c r="N442" s="3">
        <v>369</v>
      </c>
      <c r="O442" s="3">
        <v>298</v>
      </c>
      <c r="P442" s="3">
        <v>53406</v>
      </c>
      <c r="Q442" s="3">
        <v>2545</v>
      </c>
      <c r="R442" s="4">
        <v>3.48</v>
      </c>
      <c r="S442" s="6">
        <f>GlowNestSocialTable[[#This Row],[Link Clicks]]/GlowNestSocialTable[[#This Row],[Reach]]</f>
        <v>4.0725404179137109E-3</v>
      </c>
    </row>
    <row r="443" spans="1:19">
      <c r="A443" t="s">
        <v>480</v>
      </c>
      <c r="B443" s="2">
        <v>45925</v>
      </c>
      <c r="C443" t="s">
        <v>19</v>
      </c>
      <c r="D443" t="s">
        <v>20</v>
      </c>
      <c r="E443" t="s">
        <v>46</v>
      </c>
      <c r="F443" t="s">
        <v>28</v>
      </c>
      <c r="G443" t="s">
        <v>38</v>
      </c>
      <c r="H443" s="3">
        <v>75142</v>
      </c>
      <c r="I443" s="3">
        <v>59778</v>
      </c>
      <c r="J443" s="3">
        <v>54488</v>
      </c>
      <c r="K443" s="3">
        <v>2533</v>
      </c>
      <c r="L443" s="3">
        <v>330</v>
      </c>
      <c r="M443" s="3">
        <v>404</v>
      </c>
      <c r="N443" s="3">
        <v>860</v>
      </c>
      <c r="O443" s="3">
        <v>597</v>
      </c>
      <c r="P443" s="3">
        <v>39789</v>
      </c>
      <c r="Q443" s="3">
        <v>4127</v>
      </c>
      <c r="R443" s="4">
        <v>7.57</v>
      </c>
      <c r="S443" s="6">
        <f>GlowNestSocialTable[[#This Row],[Link Clicks]]/GlowNestSocialTable[[#This Row],[Reach]]</f>
        <v>1.0956540889737189E-2</v>
      </c>
    </row>
    <row r="444" spans="1:19">
      <c r="A444" t="s">
        <v>481</v>
      </c>
      <c r="B444" s="2">
        <v>45926</v>
      </c>
      <c r="C444" t="s">
        <v>19</v>
      </c>
      <c r="D444" t="s">
        <v>20</v>
      </c>
      <c r="E444" t="s">
        <v>27</v>
      </c>
      <c r="F444" t="s">
        <v>31</v>
      </c>
      <c r="G444" t="s">
        <v>38</v>
      </c>
      <c r="H444" s="3">
        <v>73211</v>
      </c>
      <c r="I444" s="3">
        <v>67952</v>
      </c>
      <c r="J444" s="3">
        <v>48899</v>
      </c>
      <c r="K444" s="3">
        <v>3387</v>
      </c>
      <c r="L444" s="3">
        <v>494</v>
      </c>
      <c r="M444" s="3">
        <v>340</v>
      </c>
      <c r="N444" s="3">
        <v>585</v>
      </c>
      <c r="O444" s="3">
        <v>694</v>
      </c>
      <c r="P444" s="3">
        <v>43074</v>
      </c>
      <c r="Q444" s="3">
        <v>4806</v>
      </c>
      <c r="R444" s="4">
        <v>9.83</v>
      </c>
      <c r="S444" s="6">
        <f>GlowNestSocialTable[[#This Row],[Link Clicks]]/GlowNestSocialTable[[#This Row],[Reach]]</f>
        <v>1.4192519274422789E-2</v>
      </c>
    </row>
    <row r="445" spans="1:19">
      <c r="A445" t="s">
        <v>482</v>
      </c>
      <c r="B445" s="2">
        <v>45927</v>
      </c>
      <c r="C445" t="s">
        <v>33</v>
      </c>
      <c r="D445" t="s">
        <v>34</v>
      </c>
      <c r="E445" t="s">
        <v>46</v>
      </c>
      <c r="F445" t="s">
        <v>31</v>
      </c>
      <c r="G445" t="s">
        <v>23</v>
      </c>
      <c r="H445" s="3">
        <v>34788</v>
      </c>
      <c r="I445" s="3">
        <v>5672</v>
      </c>
      <c r="J445" s="3">
        <v>4919</v>
      </c>
      <c r="K445" s="3">
        <v>132</v>
      </c>
      <c r="L445" s="3">
        <v>14</v>
      </c>
      <c r="M445" s="3">
        <v>18</v>
      </c>
      <c r="N445" s="3">
        <v>9</v>
      </c>
      <c r="O445" s="3">
        <v>73</v>
      </c>
      <c r="P445" s="3"/>
      <c r="Q445" s="3">
        <v>173</v>
      </c>
      <c r="R445" s="4">
        <v>3.52</v>
      </c>
      <c r="S445" s="6">
        <f>GlowNestSocialTable[[#This Row],[Link Clicks]]/GlowNestSocialTable[[#This Row],[Reach]]</f>
        <v>1.4840414718438708E-2</v>
      </c>
    </row>
    <row r="446" spans="1:19">
      <c r="A446" t="s">
        <v>483</v>
      </c>
      <c r="B446" s="2">
        <v>45927</v>
      </c>
      <c r="C446" t="s">
        <v>19</v>
      </c>
      <c r="D446" t="s">
        <v>30</v>
      </c>
      <c r="E446" t="s">
        <v>27</v>
      </c>
      <c r="F446" t="s">
        <v>44</v>
      </c>
      <c r="G446" t="s">
        <v>23</v>
      </c>
      <c r="H446" s="3">
        <v>73252</v>
      </c>
      <c r="I446" s="3">
        <v>26246</v>
      </c>
      <c r="J446" s="3">
        <v>23933</v>
      </c>
      <c r="K446" s="3">
        <v>1192</v>
      </c>
      <c r="L446" s="3">
        <v>184</v>
      </c>
      <c r="M446" s="3">
        <v>191</v>
      </c>
      <c r="N446" s="3">
        <v>107</v>
      </c>
      <c r="O446" s="3">
        <v>267</v>
      </c>
      <c r="P446" s="3"/>
      <c r="Q446" s="3">
        <v>1674</v>
      </c>
      <c r="R446" s="4">
        <v>6.99</v>
      </c>
      <c r="S446" s="6">
        <f>GlowNestSocialTable[[#This Row],[Link Clicks]]/GlowNestSocialTable[[#This Row],[Reach]]</f>
        <v>1.1156144235992144E-2</v>
      </c>
    </row>
    <row r="447" spans="1:19">
      <c r="A447" t="s">
        <v>484</v>
      </c>
      <c r="B447" s="2">
        <v>45928</v>
      </c>
      <c r="C447" t="s">
        <v>36</v>
      </c>
      <c r="D447" t="s">
        <v>30</v>
      </c>
      <c r="E447" t="s">
        <v>21</v>
      </c>
      <c r="F447" t="s">
        <v>44</v>
      </c>
      <c r="G447" t="s">
        <v>23</v>
      </c>
      <c r="H447" s="3">
        <v>89140</v>
      </c>
      <c r="I447" s="3">
        <v>32382</v>
      </c>
      <c r="J447" s="3">
        <v>28023</v>
      </c>
      <c r="K447" s="3">
        <v>439</v>
      </c>
      <c r="L447" s="3">
        <v>83</v>
      </c>
      <c r="M447" s="3">
        <v>47</v>
      </c>
      <c r="N447" s="3">
        <v>60</v>
      </c>
      <c r="O447" s="3">
        <v>116</v>
      </c>
      <c r="P447" s="3"/>
      <c r="Q447" s="3">
        <v>629</v>
      </c>
      <c r="R447" s="4">
        <v>2.2400000000000002</v>
      </c>
      <c r="S447" s="6">
        <f>GlowNestSocialTable[[#This Row],[Link Clicks]]/GlowNestSocialTable[[#This Row],[Reach]]</f>
        <v>4.1394568747100593E-3</v>
      </c>
    </row>
    <row r="448" spans="1:19">
      <c r="A448" t="s">
        <v>485</v>
      </c>
      <c r="B448" s="2">
        <v>45929</v>
      </c>
      <c r="C448" t="s">
        <v>33</v>
      </c>
      <c r="D448" t="s">
        <v>30</v>
      </c>
      <c r="E448" t="s">
        <v>25</v>
      </c>
      <c r="F448" t="s">
        <v>31</v>
      </c>
      <c r="G448" t="s">
        <v>38</v>
      </c>
      <c r="H448" s="3">
        <v>35846</v>
      </c>
      <c r="I448" s="3">
        <v>15181</v>
      </c>
      <c r="J448" s="3">
        <v>9990</v>
      </c>
      <c r="K448" s="3">
        <v>150</v>
      </c>
      <c r="L448" s="3">
        <v>18</v>
      </c>
      <c r="M448" s="3">
        <v>14</v>
      </c>
      <c r="N448" s="3">
        <v>10</v>
      </c>
      <c r="O448" s="3">
        <v>97</v>
      </c>
      <c r="P448" s="3"/>
      <c r="Q448" s="3">
        <v>192</v>
      </c>
      <c r="R448" s="4">
        <v>1.92</v>
      </c>
      <c r="S448" s="6">
        <f>GlowNestSocialTable[[#This Row],[Link Clicks]]/GlowNestSocialTable[[#This Row],[Reach]]</f>
        <v>9.7097097097097098E-3</v>
      </c>
    </row>
    <row r="449" spans="1:19">
      <c r="A449" t="s">
        <v>486</v>
      </c>
      <c r="B449" s="2">
        <v>45929</v>
      </c>
      <c r="C449" t="s">
        <v>36</v>
      </c>
      <c r="D449" t="s">
        <v>34</v>
      </c>
      <c r="E449" t="s">
        <v>25</v>
      </c>
      <c r="F449" t="s">
        <v>28</v>
      </c>
      <c r="G449" t="s">
        <v>38</v>
      </c>
      <c r="H449" s="3">
        <v>88635</v>
      </c>
      <c r="I449" s="3">
        <v>48926</v>
      </c>
      <c r="J449" s="3">
        <v>37094</v>
      </c>
      <c r="K449" s="3">
        <v>310</v>
      </c>
      <c r="L449" s="3">
        <v>49</v>
      </c>
      <c r="M449" s="3">
        <v>30</v>
      </c>
      <c r="N449" s="3">
        <v>37</v>
      </c>
      <c r="O449" s="3">
        <v>201</v>
      </c>
      <c r="P449" s="3"/>
      <c r="Q449" s="3">
        <v>426</v>
      </c>
      <c r="R449" s="4">
        <v>1.1499999999999999</v>
      </c>
      <c r="S449" s="6">
        <f>GlowNestSocialTable[[#This Row],[Link Clicks]]/GlowNestSocialTable[[#This Row],[Reach]]</f>
        <v>5.4186660915511945E-3</v>
      </c>
    </row>
    <row r="450" spans="1:19">
      <c r="A450" t="s">
        <v>487</v>
      </c>
      <c r="B450" s="2">
        <v>45930</v>
      </c>
      <c r="C450" t="s">
        <v>19</v>
      </c>
      <c r="D450" t="s">
        <v>20</v>
      </c>
      <c r="E450" t="s">
        <v>27</v>
      </c>
      <c r="F450" t="s">
        <v>28</v>
      </c>
      <c r="G450" t="s">
        <v>23</v>
      </c>
      <c r="H450" s="3">
        <v>74360</v>
      </c>
      <c r="I450" s="3">
        <v>55363</v>
      </c>
      <c r="J450" s="3">
        <v>40296</v>
      </c>
      <c r="K450" s="3">
        <v>2291</v>
      </c>
      <c r="L450" s="3">
        <v>294</v>
      </c>
      <c r="M450" s="3">
        <v>384</v>
      </c>
      <c r="N450" s="3">
        <v>912</v>
      </c>
      <c r="O450" s="3">
        <v>408</v>
      </c>
      <c r="P450" s="3">
        <v>26679</v>
      </c>
      <c r="Q450" s="3">
        <v>3881</v>
      </c>
      <c r="R450" s="4">
        <v>9.6300000000000008</v>
      </c>
      <c r="S450" s="6">
        <f>GlowNestSocialTable[[#This Row],[Link Clicks]]/GlowNestSocialTable[[#This Row],[Reach]]</f>
        <v>1.0125074449076831E-2</v>
      </c>
    </row>
    <row r="451" spans="1:19">
      <c r="A451" t="s">
        <v>488</v>
      </c>
      <c r="B451" s="2">
        <v>45930</v>
      </c>
      <c r="C451" t="s">
        <v>19</v>
      </c>
      <c r="D451" t="s">
        <v>30</v>
      </c>
      <c r="E451" t="s">
        <v>25</v>
      </c>
      <c r="F451" t="s">
        <v>31</v>
      </c>
      <c r="G451" t="s">
        <v>38</v>
      </c>
      <c r="H451" s="3">
        <v>74021</v>
      </c>
      <c r="I451" s="3">
        <v>52314</v>
      </c>
      <c r="J451" s="3">
        <v>40763</v>
      </c>
      <c r="K451" s="3">
        <v>731</v>
      </c>
      <c r="L451" s="3">
        <v>93</v>
      </c>
      <c r="M451" s="3">
        <v>109</v>
      </c>
      <c r="N451" s="3">
        <v>41</v>
      </c>
      <c r="O451" s="3">
        <v>342</v>
      </c>
      <c r="P451" s="3"/>
      <c r="Q451" s="3">
        <v>974</v>
      </c>
      <c r="R451" s="4">
        <v>2.39</v>
      </c>
      <c r="S451" s="6">
        <f>GlowNestSocialTable[[#This Row],[Link Clicks]]/GlowNestSocialTable[[#This Row],[Reach]]</f>
        <v>8.3899614846797334E-3</v>
      </c>
    </row>
    <row r="452" spans="1:19">
      <c r="A452" t="s">
        <v>489</v>
      </c>
      <c r="B452" s="2">
        <v>45931</v>
      </c>
      <c r="C452" t="s">
        <v>19</v>
      </c>
      <c r="D452" t="s">
        <v>37</v>
      </c>
      <c r="E452" t="s">
        <v>25</v>
      </c>
      <c r="F452" t="s">
        <v>28</v>
      </c>
      <c r="G452" t="s">
        <v>23</v>
      </c>
      <c r="H452" s="3">
        <v>73679</v>
      </c>
      <c r="I452" s="3">
        <v>40721</v>
      </c>
      <c r="J452" s="3">
        <v>30658</v>
      </c>
      <c r="K452" s="3">
        <v>925</v>
      </c>
      <c r="L452" s="3">
        <v>158</v>
      </c>
      <c r="M452" s="3">
        <v>98</v>
      </c>
      <c r="N452" s="3">
        <v>95</v>
      </c>
      <c r="O452" s="3">
        <v>199</v>
      </c>
      <c r="P452" s="3"/>
      <c r="Q452" s="3">
        <v>1276</v>
      </c>
      <c r="R452" s="4">
        <v>4.16</v>
      </c>
      <c r="S452" s="6">
        <f>GlowNestSocialTable[[#This Row],[Link Clicks]]/GlowNestSocialTable[[#This Row],[Reach]]</f>
        <v>6.4909648378889684E-3</v>
      </c>
    </row>
    <row r="453" spans="1:19">
      <c r="A453" t="s">
        <v>490</v>
      </c>
      <c r="B453" s="2">
        <v>45932</v>
      </c>
      <c r="C453" t="s">
        <v>36</v>
      </c>
      <c r="D453" t="s">
        <v>30</v>
      </c>
      <c r="E453" t="s">
        <v>27</v>
      </c>
      <c r="F453" t="s">
        <v>31</v>
      </c>
      <c r="G453" t="s">
        <v>23</v>
      </c>
      <c r="H453" s="3">
        <v>89860</v>
      </c>
      <c r="I453" s="3">
        <v>67113</v>
      </c>
      <c r="J453" s="3">
        <v>45791</v>
      </c>
      <c r="K453" s="3">
        <v>589</v>
      </c>
      <c r="L453" s="3">
        <v>99</v>
      </c>
      <c r="M453" s="3">
        <v>89</v>
      </c>
      <c r="N453" s="3">
        <v>90</v>
      </c>
      <c r="O453" s="3">
        <v>250</v>
      </c>
      <c r="P453" s="3"/>
      <c r="Q453" s="3">
        <v>867</v>
      </c>
      <c r="R453" s="4">
        <v>1.89</v>
      </c>
      <c r="S453" s="6">
        <f>GlowNestSocialTable[[#This Row],[Link Clicks]]/GlowNestSocialTable[[#This Row],[Reach]]</f>
        <v>5.459588128671573E-3</v>
      </c>
    </row>
    <row r="454" spans="1:19">
      <c r="A454" t="s">
        <v>491</v>
      </c>
      <c r="B454" s="2">
        <v>45932</v>
      </c>
      <c r="C454" t="s">
        <v>19</v>
      </c>
      <c r="D454" t="s">
        <v>37</v>
      </c>
      <c r="E454" t="s">
        <v>49</v>
      </c>
      <c r="F454" t="s">
        <v>22</v>
      </c>
      <c r="G454" t="s">
        <v>23</v>
      </c>
      <c r="H454" s="3">
        <v>77344</v>
      </c>
      <c r="I454" s="3">
        <v>43159</v>
      </c>
      <c r="J454" s="3">
        <v>34050</v>
      </c>
      <c r="K454" s="3">
        <v>1746</v>
      </c>
      <c r="L454" s="3">
        <v>218</v>
      </c>
      <c r="M454" s="3">
        <v>211</v>
      </c>
      <c r="N454" s="3">
        <v>392</v>
      </c>
      <c r="O454" s="3">
        <v>388</v>
      </c>
      <c r="P454" s="3"/>
      <c r="Q454" s="3">
        <v>2567</v>
      </c>
      <c r="R454" s="4">
        <v>7.54</v>
      </c>
      <c r="S454" s="6">
        <f>GlowNestSocialTable[[#This Row],[Link Clicks]]/GlowNestSocialTable[[#This Row],[Reach]]</f>
        <v>1.1395007342143906E-2</v>
      </c>
    </row>
    <row r="455" spans="1:19">
      <c r="A455" t="s">
        <v>492</v>
      </c>
      <c r="B455" s="2">
        <v>45933</v>
      </c>
      <c r="C455" t="s">
        <v>36</v>
      </c>
      <c r="D455" t="s">
        <v>34</v>
      </c>
      <c r="E455" t="s">
        <v>46</v>
      </c>
      <c r="F455" t="s">
        <v>42</v>
      </c>
      <c r="G455" t="s">
        <v>23</v>
      </c>
      <c r="H455" s="3">
        <v>88871</v>
      </c>
      <c r="I455" s="3">
        <v>29730</v>
      </c>
      <c r="J455" s="3">
        <v>23104</v>
      </c>
      <c r="K455" s="3">
        <v>246</v>
      </c>
      <c r="L455" s="3">
        <v>44</v>
      </c>
      <c r="M455" s="3">
        <v>33</v>
      </c>
      <c r="N455" s="3">
        <v>15</v>
      </c>
      <c r="O455" s="3">
        <v>105</v>
      </c>
      <c r="P455" s="3"/>
      <c r="Q455" s="3">
        <v>338</v>
      </c>
      <c r="R455" s="4">
        <v>2.92</v>
      </c>
      <c r="S455" s="6">
        <f>GlowNestSocialTable[[#This Row],[Link Clicks]]/GlowNestSocialTable[[#This Row],[Reach]]</f>
        <v>4.5446675900277008E-3</v>
      </c>
    </row>
    <row r="456" spans="1:19">
      <c r="A456" t="s">
        <v>493</v>
      </c>
      <c r="B456" s="2">
        <v>45933</v>
      </c>
      <c r="C456" t="s">
        <v>19</v>
      </c>
      <c r="D456" t="s">
        <v>34</v>
      </c>
      <c r="E456" t="s">
        <v>49</v>
      </c>
      <c r="F456" t="s">
        <v>44</v>
      </c>
      <c r="G456" t="s">
        <v>38</v>
      </c>
      <c r="H456" s="3">
        <v>74809</v>
      </c>
      <c r="I456" s="3">
        <v>45412</v>
      </c>
      <c r="J456" s="3">
        <v>31531</v>
      </c>
      <c r="K456" s="3">
        <v>993</v>
      </c>
      <c r="L456" s="3">
        <v>111</v>
      </c>
      <c r="M456" s="3">
        <v>160</v>
      </c>
      <c r="N456" s="3">
        <v>100</v>
      </c>
      <c r="O456" s="3">
        <v>326</v>
      </c>
      <c r="P456" s="3"/>
      <c r="Q456" s="3">
        <v>1364</v>
      </c>
      <c r="R456" s="4">
        <v>4.33</v>
      </c>
      <c r="S456" s="6">
        <f>GlowNestSocialTable[[#This Row],[Link Clicks]]/GlowNestSocialTable[[#This Row],[Reach]]</f>
        <v>1.0339031429386953E-2</v>
      </c>
    </row>
    <row r="457" spans="1:19">
      <c r="A457" t="s">
        <v>494</v>
      </c>
      <c r="B457" s="2">
        <v>45934</v>
      </c>
      <c r="C457" t="s">
        <v>19</v>
      </c>
      <c r="D457" t="s">
        <v>20</v>
      </c>
      <c r="E457" t="s">
        <v>49</v>
      </c>
      <c r="F457" t="s">
        <v>22</v>
      </c>
      <c r="G457" t="s">
        <v>23</v>
      </c>
      <c r="H457" s="3">
        <v>73032</v>
      </c>
      <c r="I457" s="3">
        <v>30301</v>
      </c>
      <c r="J457" s="3">
        <v>27701</v>
      </c>
      <c r="K457" s="3">
        <v>1242</v>
      </c>
      <c r="L457" s="3">
        <v>159</v>
      </c>
      <c r="M457" s="3">
        <v>107</v>
      </c>
      <c r="N457" s="3">
        <v>265</v>
      </c>
      <c r="O457" s="3">
        <v>240</v>
      </c>
      <c r="P457" s="3">
        <v>21845</v>
      </c>
      <c r="Q457" s="3">
        <v>1773</v>
      </c>
      <c r="R457" s="4">
        <v>6.4</v>
      </c>
      <c r="S457" s="6">
        <f>GlowNestSocialTable[[#This Row],[Link Clicks]]/GlowNestSocialTable[[#This Row],[Reach]]</f>
        <v>8.6639471499223852E-3</v>
      </c>
    </row>
    <row r="458" spans="1:19">
      <c r="A458" t="s">
        <v>495</v>
      </c>
      <c r="B458" s="2">
        <v>45935</v>
      </c>
      <c r="C458" t="s">
        <v>19</v>
      </c>
      <c r="D458" t="s">
        <v>20</v>
      </c>
      <c r="E458" t="s">
        <v>27</v>
      </c>
      <c r="F458" t="s">
        <v>22</v>
      </c>
      <c r="G458" t="s">
        <v>38</v>
      </c>
      <c r="H458" s="3">
        <v>74076</v>
      </c>
      <c r="I458" s="3">
        <v>77798</v>
      </c>
      <c r="J458" s="3">
        <v>52748</v>
      </c>
      <c r="K458" s="3">
        <v>3532</v>
      </c>
      <c r="L458" s="3">
        <v>388</v>
      </c>
      <c r="M458" s="3">
        <v>416</v>
      </c>
      <c r="N458" s="3">
        <v>1119</v>
      </c>
      <c r="O458" s="3">
        <v>517</v>
      </c>
      <c r="P458" s="3">
        <v>33609</v>
      </c>
      <c r="Q458" s="3">
        <v>5455</v>
      </c>
      <c r="R458" s="4">
        <v>10.34</v>
      </c>
      <c r="S458" s="6">
        <f>GlowNestSocialTable[[#This Row],[Link Clicks]]/GlowNestSocialTable[[#This Row],[Reach]]</f>
        <v>9.8013194813073475E-3</v>
      </c>
    </row>
    <row r="459" spans="1:19">
      <c r="A459" t="s">
        <v>496</v>
      </c>
      <c r="B459" s="2">
        <v>45935</v>
      </c>
      <c r="C459" t="s">
        <v>36</v>
      </c>
      <c r="D459" t="s">
        <v>30</v>
      </c>
      <c r="E459" t="s">
        <v>27</v>
      </c>
      <c r="F459" t="s">
        <v>28</v>
      </c>
      <c r="G459" t="s">
        <v>38</v>
      </c>
      <c r="H459" s="3">
        <v>89750</v>
      </c>
      <c r="I459" s="3">
        <v>78203</v>
      </c>
      <c r="J459" s="3">
        <v>57120</v>
      </c>
      <c r="K459" s="3">
        <v>992</v>
      </c>
      <c r="L459" s="3">
        <v>161</v>
      </c>
      <c r="M459" s="3">
        <v>168</v>
      </c>
      <c r="N459" s="3">
        <v>192</v>
      </c>
      <c r="O459" s="3">
        <v>348</v>
      </c>
      <c r="P459" s="3"/>
      <c r="Q459" s="3">
        <v>1513</v>
      </c>
      <c r="R459" s="4">
        <v>2.65</v>
      </c>
      <c r="S459" s="6">
        <f>GlowNestSocialTable[[#This Row],[Link Clicks]]/GlowNestSocialTable[[#This Row],[Reach]]</f>
        <v>6.092436974789916E-3</v>
      </c>
    </row>
    <row r="460" spans="1:19">
      <c r="A460" t="s">
        <v>497</v>
      </c>
      <c r="B460" s="2">
        <v>45936</v>
      </c>
      <c r="C460" t="s">
        <v>19</v>
      </c>
      <c r="D460" t="s">
        <v>20</v>
      </c>
      <c r="E460" t="s">
        <v>21</v>
      </c>
      <c r="F460" t="s">
        <v>42</v>
      </c>
      <c r="G460" t="s">
        <v>38</v>
      </c>
      <c r="H460" s="3">
        <v>76796</v>
      </c>
      <c r="I460" s="3">
        <v>65077</v>
      </c>
      <c r="J460" s="3">
        <v>57412</v>
      </c>
      <c r="K460" s="3">
        <v>2328</v>
      </c>
      <c r="L460" s="3">
        <v>429</v>
      </c>
      <c r="M460" s="3">
        <v>240</v>
      </c>
      <c r="N460" s="3">
        <v>497</v>
      </c>
      <c r="O460" s="3">
        <v>483</v>
      </c>
      <c r="P460" s="3">
        <v>50863</v>
      </c>
      <c r="Q460" s="3">
        <v>3494</v>
      </c>
      <c r="R460" s="4">
        <v>6.09</v>
      </c>
      <c r="S460" s="6">
        <f>GlowNestSocialTable[[#This Row],[Link Clicks]]/GlowNestSocialTable[[#This Row],[Reach]]</f>
        <v>8.4128753570682085E-3</v>
      </c>
    </row>
    <row r="461" spans="1:19">
      <c r="A461" t="s">
        <v>498</v>
      </c>
      <c r="B461" s="2">
        <v>45936</v>
      </c>
      <c r="C461" t="s">
        <v>19</v>
      </c>
      <c r="D461" t="s">
        <v>34</v>
      </c>
      <c r="E461" t="s">
        <v>27</v>
      </c>
      <c r="F461" t="s">
        <v>42</v>
      </c>
      <c r="G461" t="s">
        <v>23</v>
      </c>
      <c r="H461" s="3">
        <v>74881</v>
      </c>
      <c r="I461" s="3">
        <v>31504</v>
      </c>
      <c r="J461" s="3">
        <v>27010</v>
      </c>
      <c r="K461" s="3">
        <v>919</v>
      </c>
      <c r="L461" s="3">
        <v>137</v>
      </c>
      <c r="M461" s="3">
        <v>135</v>
      </c>
      <c r="N461" s="3">
        <v>155</v>
      </c>
      <c r="O461" s="3">
        <v>437</v>
      </c>
      <c r="P461" s="3"/>
      <c r="Q461" s="3">
        <v>1346</v>
      </c>
      <c r="R461" s="4">
        <v>4.9800000000000004</v>
      </c>
      <c r="S461" s="6">
        <f>GlowNestSocialTable[[#This Row],[Link Clicks]]/GlowNestSocialTable[[#This Row],[Reach]]</f>
        <v>1.6179192891521657E-2</v>
      </c>
    </row>
    <row r="462" spans="1:19">
      <c r="A462" t="s">
        <v>499</v>
      </c>
      <c r="B462" s="2">
        <v>45937</v>
      </c>
      <c r="C462" t="s">
        <v>19</v>
      </c>
      <c r="D462" t="s">
        <v>20</v>
      </c>
      <c r="E462" t="s">
        <v>46</v>
      </c>
      <c r="F462" t="s">
        <v>22</v>
      </c>
      <c r="G462" t="s">
        <v>23</v>
      </c>
      <c r="H462" s="3">
        <v>75308</v>
      </c>
      <c r="I462" s="3">
        <v>36929</v>
      </c>
      <c r="J462" s="3">
        <v>31110</v>
      </c>
      <c r="K462" s="3">
        <v>1177</v>
      </c>
      <c r="L462" s="3">
        <v>166</v>
      </c>
      <c r="M462" s="3">
        <v>166</v>
      </c>
      <c r="N462" s="3">
        <v>238</v>
      </c>
      <c r="O462" s="3">
        <v>471</v>
      </c>
      <c r="P462" s="3">
        <v>19006</v>
      </c>
      <c r="Q462" s="3">
        <v>1747</v>
      </c>
      <c r="R462" s="4">
        <v>5.62</v>
      </c>
      <c r="S462" s="6">
        <f>GlowNestSocialTable[[#This Row],[Link Clicks]]/GlowNestSocialTable[[#This Row],[Reach]]</f>
        <v>1.5139826422372228E-2</v>
      </c>
    </row>
    <row r="463" spans="1:19">
      <c r="A463" t="s">
        <v>500</v>
      </c>
      <c r="B463" s="2">
        <v>45938</v>
      </c>
      <c r="C463" t="s">
        <v>19</v>
      </c>
      <c r="D463" t="s">
        <v>30</v>
      </c>
      <c r="E463" t="s">
        <v>27</v>
      </c>
      <c r="F463" t="s">
        <v>31</v>
      </c>
      <c r="G463" t="s">
        <v>23</v>
      </c>
      <c r="H463" s="3">
        <v>74322</v>
      </c>
      <c r="I463" s="3">
        <v>24053</v>
      </c>
      <c r="J463" s="3">
        <v>19043</v>
      </c>
      <c r="K463" s="3">
        <v>838</v>
      </c>
      <c r="L463" s="3">
        <v>127</v>
      </c>
      <c r="M463" s="3">
        <v>92</v>
      </c>
      <c r="N463" s="3">
        <v>84</v>
      </c>
      <c r="O463" s="3">
        <v>262</v>
      </c>
      <c r="P463" s="3"/>
      <c r="Q463" s="3">
        <v>1141</v>
      </c>
      <c r="R463" s="4">
        <v>5.99</v>
      </c>
      <c r="S463" s="6">
        <f>GlowNestSocialTable[[#This Row],[Link Clicks]]/GlowNestSocialTable[[#This Row],[Reach]]</f>
        <v>1.3758336396576169E-2</v>
      </c>
    </row>
    <row r="464" spans="1:19">
      <c r="A464" t="s">
        <v>501</v>
      </c>
      <c r="B464" s="2">
        <v>45938</v>
      </c>
      <c r="C464" t="s">
        <v>36</v>
      </c>
      <c r="D464" t="s">
        <v>20</v>
      </c>
      <c r="E464" t="s">
        <v>21</v>
      </c>
      <c r="F464" t="s">
        <v>22</v>
      </c>
      <c r="G464" t="s">
        <v>23</v>
      </c>
      <c r="H464" s="3">
        <v>89071</v>
      </c>
      <c r="I464" s="3">
        <v>81025</v>
      </c>
      <c r="J464" s="3">
        <v>59922</v>
      </c>
      <c r="K464" s="3">
        <v>1364</v>
      </c>
      <c r="L464" s="3">
        <v>196</v>
      </c>
      <c r="M464" s="3">
        <v>173</v>
      </c>
      <c r="N464" s="3">
        <v>259</v>
      </c>
      <c r="O464" s="3">
        <v>342</v>
      </c>
      <c r="P464" s="3">
        <v>39562</v>
      </c>
      <c r="Q464" s="3">
        <v>1992</v>
      </c>
      <c r="R464" s="4">
        <v>3.32</v>
      </c>
      <c r="S464" s="6">
        <f>GlowNestSocialTable[[#This Row],[Link Clicks]]/GlowNestSocialTable[[#This Row],[Reach]]</f>
        <v>5.7074196455392011E-3</v>
      </c>
    </row>
    <row r="465" spans="1:19">
      <c r="A465" t="s">
        <v>502</v>
      </c>
      <c r="B465" s="2">
        <v>45939</v>
      </c>
      <c r="C465" t="s">
        <v>36</v>
      </c>
      <c r="D465" t="s">
        <v>37</v>
      </c>
      <c r="E465" t="s">
        <v>25</v>
      </c>
      <c r="F465" t="s">
        <v>28</v>
      </c>
      <c r="G465" t="s">
        <v>38</v>
      </c>
      <c r="H465" s="3">
        <v>88671</v>
      </c>
      <c r="I465" s="3">
        <v>74794</v>
      </c>
      <c r="J465" s="3">
        <v>68997</v>
      </c>
      <c r="K465" s="3">
        <v>931</v>
      </c>
      <c r="L465" s="3">
        <v>152</v>
      </c>
      <c r="M465" s="3">
        <v>137</v>
      </c>
      <c r="N465" s="3">
        <v>16</v>
      </c>
      <c r="O465" s="3">
        <v>233</v>
      </c>
      <c r="P465" s="3"/>
      <c r="Q465" s="3">
        <v>1236</v>
      </c>
      <c r="R465" s="4">
        <v>1.79</v>
      </c>
      <c r="S465" s="6">
        <f>GlowNestSocialTable[[#This Row],[Link Clicks]]/GlowNestSocialTable[[#This Row],[Reach]]</f>
        <v>3.3769584184819628E-3</v>
      </c>
    </row>
    <row r="466" spans="1:19">
      <c r="A466" t="s">
        <v>503</v>
      </c>
      <c r="B466" s="2">
        <v>45939</v>
      </c>
      <c r="C466" t="s">
        <v>36</v>
      </c>
      <c r="D466" t="s">
        <v>20</v>
      </c>
      <c r="E466" t="s">
        <v>25</v>
      </c>
      <c r="F466" t="s">
        <v>42</v>
      </c>
      <c r="G466" t="s">
        <v>23</v>
      </c>
      <c r="H466" s="3">
        <v>86753</v>
      </c>
      <c r="I466" s="3">
        <v>55785</v>
      </c>
      <c r="J466" s="3">
        <v>43232</v>
      </c>
      <c r="K466" s="3">
        <v>720</v>
      </c>
      <c r="L466" s="3">
        <v>96</v>
      </c>
      <c r="M466" s="3">
        <v>73</v>
      </c>
      <c r="N466" s="3">
        <v>69</v>
      </c>
      <c r="O466" s="3">
        <v>168</v>
      </c>
      <c r="P466" s="3">
        <v>30257</v>
      </c>
      <c r="Q466" s="3">
        <v>958</v>
      </c>
      <c r="R466" s="4">
        <v>2.2200000000000002</v>
      </c>
      <c r="S466" s="6">
        <f>GlowNestSocialTable[[#This Row],[Link Clicks]]/GlowNestSocialTable[[#This Row],[Reach]]</f>
        <v>3.8860103626943004E-3</v>
      </c>
    </row>
    <row r="467" spans="1:19">
      <c r="A467" t="s">
        <v>504</v>
      </c>
      <c r="B467" s="2">
        <v>45940</v>
      </c>
      <c r="C467" t="s">
        <v>33</v>
      </c>
      <c r="D467" t="s">
        <v>20</v>
      </c>
      <c r="E467" t="s">
        <v>49</v>
      </c>
      <c r="F467" t="s">
        <v>22</v>
      </c>
      <c r="G467" t="s">
        <v>23</v>
      </c>
      <c r="H467" s="3">
        <v>34193</v>
      </c>
      <c r="I467" s="3">
        <v>13414</v>
      </c>
      <c r="J467" s="3">
        <v>9874</v>
      </c>
      <c r="K467" s="3">
        <v>327</v>
      </c>
      <c r="L467" s="3">
        <v>55</v>
      </c>
      <c r="M467" s="3">
        <v>61</v>
      </c>
      <c r="N467" s="3">
        <v>97</v>
      </c>
      <c r="O467" s="3">
        <v>86</v>
      </c>
      <c r="P467" s="3">
        <v>6748</v>
      </c>
      <c r="Q467" s="3">
        <v>540</v>
      </c>
      <c r="R467" s="4">
        <v>5.47</v>
      </c>
      <c r="S467" s="6">
        <f>GlowNestSocialTable[[#This Row],[Link Clicks]]/GlowNestSocialTable[[#This Row],[Reach]]</f>
        <v>8.7097427587603804E-3</v>
      </c>
    </row>
    <row r="468" spans="1:19">
      <c r="A468" t="s">
        <v>505</v>
      </c>
      <c r="B468" s="2">
        <v>45941</v>
      </c>
      <c r="C468" t="s">
        <v>33</v>
      </c>
      <c r="D468" t="s">
        <v>506</v>
      </c>
      <c r="E468" t="s">
        <v>49</v>
      </c>
      <c r="F468" t="s">
        <v>31</v>
      </c>
      <c r="G468" t="s">
        <v>23</v>
      </c>
      <c r="H468" s="3">
        <v>36713</v>
      </c>
      <c r="I468" s="3">
        <v>11428</v>
      </c>
      <c r="J468" s="3">
        <v>8140</v>
      </c>
      <c r="K468" s="3">
        <v>141</v>
      </c>
      <c r="L468" s="3">
        <v>26</v>
      </c>
      <c r="M468" s="3">
        <v>24</v>
      </c>
      <c r="N468" s="3">
        <v>20</v>
      </c>
      <c r="O468" s="3">
        <v>104</v>
      </c>
      <c r="P468" s="3"/>
      <c r="Q468" s="3">
        <v>211</v>
      </c>
      <c r="R468" s="4">
        <v>2.59</v>
      </c>
      <c r="S468" s="6">
        <f>GlowNestSocialTable[[#This Row],[Link Clicks]]/GlowNestSocialTable[[#This Row],[Reach]]</f>
        <v>1.2776412776412777E-2</v>
      </c>
    </row>
    <row r="469" spans="1:19">
      <c r="A469" t="s">
        <v>507</v>
      </c>
      <c r="B469" s="2">
        <v>45941</v>
      </c>
      <c r="C469" t="s">
        <v>36</v>
      </c>
      <c r="D469" t="s">
        <v>37</v>
      </c>
      <c r="E469" t="s">
        <v>25</v>
      </c>
      <c r="F469" t="s">
        <v>31</v>
      </c>
      <c r="G469" t="s">
        <v>23</v>
      </c>
      <c r="H469" s="3">
        <v>87328</v>
      </c>
      <c r="I469" s="3">
        <v>48393</v>
      </c>
      <c r="J469" s="3">
        <v>43809</v>
      </c>
      <c r="K469" s="3">
        <v>527</v>
      </c>
      <c r="L469" s="3">
        <v>93</v>
      </c>
      <c r="M469" s="3">
        <v>89</v>
      </c>
      <c r="N469" s="3">
        <v>90</v>
      </c>
      <c r="O469" s="3">
        <v>212</v>
      </c>
      <c r="P469" s="3"/>
      <c r="Q469" s="3">
        <v>799</v>
      </c>
      <c r="R469" s="4">
        <v>1.82</v>
      </c>
      <c r="S469" s="6">
        <f>GlowNestSocialTable[[#This Row],[Link Clicks]]/GlowNestSocialTable[[#This Row],[Reach]]</f>
        <v>4.8391882946426535E-3</v>
      </c>
    </row>
    <row r="470" spans="1:19">
      <c r="A470" t="s">
        <v>508</v>
      </c>
      <c r="B470" s="2">
        <v>45942</v>
      </c>
      <c r="C470" t="s">
        <v>19</v>
      </c>
      <c r="D470" t="s">
        <v>20</v>
      </c>
      <c r="E470" t="s">
        <v>25</v>
      </c>
      <c r="F470" t="s">
        <v>28</v>
      </c>
      <c r="G470" t="s">
        <v>23</v>
      </c>
      <c r="H470" s="3">
        <v>72524</v>
      </c>
      <c r="I470" s="3">
        <v>43726</v>
      </c>
      <c r="J470" s="3">
        <v>35676</v>
      </c>
      <c r="K470" s="3">
        <v>1449</v>
      </c>
      <c r="L470" s="3">
        <v>142</v>
      </c>
      <c r="M470" s="3">
        <v>164</v>
      </c>
      <c r="N470" s="3">
        <v>160</v>
      </c>
      <c r="O470" s="3">
        <v>277</v>
      </c>
      <c r="P470" s="3">
        <v>26553</v>
      </c>
      <c r="Q470" s="3">
        <v>1915</v>
      </c>
      <c r="R470" s="4">
        <v>5.37</v>
      </c>
      <c r="S470" s="6">
        <f>GlowNestSocialTable[[#This Row],[Link Clicks]]/GlowNestSocialTable[[#This Row],[Reach]]</f>
        <v>7.7643233546361703E-3</v>
      </c>
    </row>
    <row r="471" spans="1:19">
      <c r="A471" t="s">
        <v>509</v>
      </c>
      <c r="B471" s="2">
        <v>45943</v>
      </c>
      <c r="C471" t="s">
        <v>19</v>
      </c>
      <c r="D471" t="s">
        <v>20</v>
      </c>
      <c r="E471" t="s">
        <v>49</v>
      </c>
      <c r="F471" t="s">
        <v>22</v>
      </c>
      <c r="G471" t="s">
        <v>23</v>
      </c>
      <c r="H471" s="3">
        <v>73755</v>
      </c>
      <c r="I471" s="3">
        <v>45617</v>
      </c>
      <c r="J471" s="3">
        <v>32238</v>
      </c>
      <c r="K471" s="3">
        <v>1300</v>
      </c>
      <c r="L471" s="3">
        <v>209</v>
      </c>
      <c r="M471" s="3">
        <v>225</v>
      </c>
      <c r="N471" s="3">
        <v>400</v>
      </c>
      <c r="O471" s="3">
        <v>311</v>
      </c>
      <c r="P471" s="3">
        <v>26154</v>
      </c>
      <c r="Q471" s="3">
        <v>2134</v>
      </c>
      <c r="R471" s="4">
        <v>6.62</v>
      </c>
      <c r="S471" s="6">
        <f>GlowNestSocialTable[[#This Row],[Link Clicks]]/GlowNestSocialTable[[#This Row],[Reach]]</f>
        <v>9.6470004342701157E-3</v>
      </c>
    </row>
    <row r="472" spans="1:19">
      <c r="A472" t="s">
        <v>510</v>
      </c>
      <c r="B472" s="2">
        <v>45943</v>
      </c>
      <c r="C472" t="s">
        <v>36</v>
      </c>
      <c r="D472" t="s">
        <v>34</v>
      </c>
      <c r="E472" t="s">
        <v>46</v>
      </c>
      <c r="F472" t="s">
        <v>31</v>
      </c>
      <c r="G472" t="s">
        <v>23</v>
      </c>
      <c r="H472" s="3">
        <v>90309</v>
      </c>
      <c r="I472" s="3">
        <v>27507</v>
      </c>
      <c r="J472" s="3">
        <v>23715</v>
      </c>
      <c r="K472" s="3">
        <v>243</v>
      </c>
      <c r="L472" s="3">
        <v>27</v>
      </c>
      <c r="M472" s="3">
        <v>45</v>
      </c>
      <c r="N472" s="3">
        <v>43</v>
      </c>
      <c r="O472" s="3">
        <v>157</v>
      </c>
      <c r="P472" s="3"/>
      <c r="Q472" s="3">
        <v>358</v>
      </c>
      <c r="R472" s="4">
        <v>1.51</v>
      </c>
      <c r="S472" s="6">
        <f>GlowNestSocialTable[[#This Row],[Link Clicks]]/GlowNestSocialTable[[#This Row],[Reach]]</f>
        <v>6.6202825216107953E-3</v>
      </c>
    </row>
    <row r="473" spans="1:19">
      <c r="A473" t="s">
        <v>511</v>
      </c>
      <c r="B473" s="2">
        <v>45944</v>
      </c>
      <c r="C473" t="s">
        <v>19</v>
      </c>
      <c r="D473" t="s">
        <v>20</v>
      </c>
      <c r="E473" t="s">
        <v>25</v>
      </c>
      <c r="F473" t="s">
        <v>42</v>
      </c>
      <c r="G473" t="s">
        <v>23</v>
      </c>
      <c r="H473" s="3">
        <v>74124</v>
      </c>
      <c r="I473" s="3">
        <v>51267</v>
      </c>
      <c r="J473" s="3">
        <v>39038</v>
      </c>
      <c r="K473" s="3">
        <v>1456</v>
      </c>
      <c r="L473" s="3">
        <v>217</v>
      </c>
      <c r="M473" s="3">
        <v>228</v>
      </c>
      <c r="N473" s="3">
        <v>324</v>
      </c>
      <c r="O473" s="3">
        <v>349</v>
      </c>
      <c r="P473" s="3">
        <v>22111</v>
      </c>
      <c r="Q473" s="3">
        <v>2225</v>
      </c>
      <c r="R473" s="4">
        <v>5.7</v>
      </c>
      <c r="S473" s="6">
        <f>GlowNestSocialTable[[#This Row],[Link Clicks]]/GlowNestSocialTable[[#This Row],[Reach]]</f>
        <v>8.9400071724985916E-3</v>
      </c>
    </row>
    <row r="474" spans="1:19">
      <c r="A474" t="s">
        <v>512</v>
      </c>
      <c r="B474" s="2">
        <v>45944</v>
      </c>
      <c r="C474" t="s">
        <v>36</v>
      </c>
      <c r="D474" t="s">
        <v>20</v>
      </c>
      <c r="E474" t="s">
        <v>27</v>
      </c>
      <c r="F474" t="s">
        <v>31</v>
      </c>
      <c r="G474" t="s">
        <v>23</v>
      </c>
      <c r="H474" s="3">
        <v>88004</v>
      </c>
      <c r="I474" s="3">
        <v>94039</v>
      </c>
      <c r="J474" s="3">
        <v>62616</v>
      </c>
      <c r="K474" s="3">
        <v>1564</v>
      </c>
      <c r="L474" s="3">
        <v>295</v>
      </c>
      <c r="M474" s="3">
        <v>143</v>
      </c>
      <c r="N474" s="3">
        <v>612</v>
      </c>
      <c r="O474" s="3">
        <v>417</v>
      </c>
      <c r="P474" s="3">
        <v>38422</v>
      </c>
      <c r="Q474" s="3">
        <v>2614</v>
      </c>
      <c r="R474" s="4">
        <v>4.17</v>
      </c>
      <c r="S474" s="6">
        <f>GlowNestSocialTable[[#This Row],[Link Clicks]]/GlowNestSocialTable[[#This Row],[Reach]]</f>
        <v>6.6596397087006513E-3</v>
      </c>
    </row>
    <row r="475" spans="1:19">
      <c r="A475" t="s">
        <v>514</v>
      </c>
      <c r="B475" s="2">
        <v>45945</v>
      </c>
      <c r="C475" t="s">
        <v>19</v>
      </c>
      <c r="D475" t="s">
        <v>20</v>
      </c>
      <c r="E475" t="s">
        <v>21</v>
      </c>
      <c r="F475" t="s">
        <v>42</v>
      </c>
      <c r="G475" t="s">
        <v>23</v>
      </c>
      <c r="H475" s="3">
        <v>74906</v>
      </c>
      <c r="I475" s="3">
        <v>34862</v>
      </c>
      <c r="J475" s="3">
        <v>25108</v>
      </c>
      <c r="K475" s="3">
        <v>1655</v>
      </c>
      <c r="L475" s="3">
        <v>183</v>
      </c>
      <c r="M475" s="3">
        <v>221</v>
      </c>
      <c r="N475" s="3">
        <v>195</v>
      </c>
      <c r="O475" s="3">
        <v>332</v>
      </c>
      <c r="P475" s="3">
        <v>18898</v>
      </c>
      <c r="Q475" s="3">
        <v>2254</v>
      </c>
      <c r="R475" s="4">
        <v>8.98</v>
      </c>
      <c r="S475" s="6">
        <f>GlowNestSocialTable[[#This Row],[Link Clicks]]/GlowNestSocialTable[[#This Row],[Reach]]</f>
        <v>1.3222877170622909E-2</v>
      </c>
    </row>
    <row r="476" spans="1:19">
      <c r="A476" t="s">
        <v>515</v>
      </c>
      <c r="B476" s="2">
        <v>45946</v>
      </c>
      <c r="C476" t="s">
        <v>19</v>
      </c>
      <c r="D476" t="s">
        <v>37</v>
      </c>
      <c r="E476" t="s">
        <v>46</v>
      </c>
      <c r="F476" t="s">
        <v>44</v>
      </c>
      <c r="G476" t="s">
        <v>23</v>
      </c>
      <c r="H476" s="3">
        <v>73771</v>
      </c>
      <c r="I476" s="3">
        <v>34365</v>
      </c>
      <c r="J476" s="3">
        <v>25605</v>
      </c>
      <c r="K476" s="3">
        <v>969</v>
      </c>
      <c r="L476" s="3">
        <v>124</v>
      </c>
      <c r="M476" s="3">
        <v>100</v>
      </c>
      <c r="N476" s="3">
        <v>159</v>
      </c>
      <c r="O476" s="3">
        <v>253</v>
      </c>
      <c r="P476" s="3"/>
      <c r="Q476" s="3">
        <v>1352</v>
      </c>
      <c r="R476" s="4">
        <v>5.28</v>
      </c>
      <c r="S476" s="6">
        <f>GlowNestSocialTable[[#This Row],[Link Clicks]]/GlowNestSocialTable[[#This Row],[Reach]]</f>
        <v>9.8808826401093532E-3</v>
      </c>
    </row>
    <row r="477" spans="1:19">
      <c r="A477" t="s">
        <v>516</v>
      </c>
      <c r="B477" s="2">
        <v>45946</v>
      </c>
      <c r="C477" t="s">
        <v>36</v>
      </c>
      <c r="D477" t="s">
        <v>20</v>
      </c>
      <c r="E477" t="s">
        <v>25</v>
      </c>
      <c r="F477" t="s">
        <v>44</v>
      </c>
      <c r="G477" t="s">
        <v>38</v>
      </c>
      <c r="H477" s="3">
        <v>87344</v>
      </c>
      <c r="I477" s="3">
        <v>130152</v>
      </c>
      <c r="J477" s="3">
        <v>91387</v>
      </c>
      <c r="K477" s="3">
        <v>847</v>
      </c>
      <c r="L477" s="3">
        <v>126</v>
      </c>
      <c r="M477" s="3">
        <v>96</v>
      </c>
      <c r="N477" s="3">
        <v>252</v>
      </c>
      <c r="O477" s="3">
        <v>331</v>
      </c>
      <c r="P477" s="3">
        <v>55369</v>
      </c>
      <c r="Q477" s="3">
        <v>1321</v>
      </c>
      <c r="R477" s="4">
        <v>1.45</v>
      </c>
      <c r="S477" s="6">
        <f>GlowNestSocialTable[[#This Row],[Link Clicks]]/GlowNestSocialTable[[#This Row],[Reach]]</f>
        <v>3.6219593596463393E-3</v>
      </c>
    </row>
    <row r="478" spans="1:19">
      <c r="A478" t="s">
        <v>517</v>
      </c>
      <c r="B478" s="2">
        <v>45947</v>
      </c>
      <c r="C478" t="s">
        <v>19</v>
      </c>
      <c r="D478" t="s">
        <v>37</v>
      </c>
      <c r="E478" t="s">
        <v>25</v>
      </c>
      <c r="F478" t="s">
        <v>22</v>
      </c>
      <c r="G478" t="s">
        <v>38</v>
      </c>
      <c r="H478" s="3">
        <v>73123</v>
      </c>
      <c r="I478" s="3">
        <v>45330</v>
      </c>
      <c r="J478" s="3">
        <v>39314</v>
      </c>
      <c r="K478" s="3">
        <v>1155</v>
      </c>
      <c r="L478" s="3">
        <v>133</v>
      </c>
      <c r="M478" s="3">
        <v>120</v>
      </c>
      <c r="N478" s="3">
        <v>248</v>
      </c>
      <c r="O478" s="3">
        <v>344</v>
      </c>
      <c r="P478" s="3"/>
      <c r="Q478" s="3">
        <v>1656</v>
      </c>
      <c r="R478" s="4">
        <v>4.21</v>
      </c>
      <c r="S478" s="6">
        <f>GlowNestSocialTable[[#This Row],[Link Clicks]]/GlowNestSocialTable[[#This Row],[Reach]]</f>
        <v>8.7500635905784201E-3</v>
      </c>
    </row>
    <row r="479" spans="1:19">
      <c r="A479" t="s">
        <v>518</v>
      </c>
      <c r="B479" s="2">
        <v>45947</v>
      </c>
      <c r="C479" t="s">
        <v>19</v>
      </c>
      <c r="D479" t="s">
        <v>20</v>
      </c>
      <c r="E479" t="s">
        <v>46</v>
      </c>
      <c r="F479" t="s">
        <v>31</v>
      </c>
      <c r="G479" t="s">
        <v>23</v>
      </c>
      <c r="H479" s="3">
        <v>77294</v>
      </c>
      <c r="I479" s="3">
        <v>35037</v>
      </c>
      <c r="J479" s="3">
        <v>30536</v>
      </c>
      <c r="K479" s="3">
        <v>1121</v>
      </c>
      <c r="L479" s="3">
        <v>147</v>
      </c>
      <c r="M479" s="3">
        <v>158</v>
      </c>
      <c r="N479" s="3">
        <v>389</v>
      </c>
      <c r="O479" s="3">
        <v>356</v>
      </c>
      <c r="P479" s="3">
        <v>26906</v>
      </c>
      <c r="Q479" s="3">
        <v>1815</v>
      </c>
      <c r="R479" s="4">
        <v>5.94</v>
      </c>
      <c r="S479" s="6">
        <f>GlowNestSocialTable[[#This Row],[Link Clicks]]/GlowNestSocialTable[[#This Row],[Reach]]</f>
        <v>1.1658370447995808E-2</v>
      </c>
    </row>
    <row r="480" spans="1:19">
      <c r="A480" t="s">
        <v>519</v>
      </c>
      <c r="B480" s="2">
        <v>45948</v>
      </c>
      <c r="C480" t="s">
        <v>36</v>
      </c>
      <c r="D480" t="s">
        <v>34</v>
      </c>
      <c r="E480" t="s">
        <v>21</v>
      </c>
      <c r="F480" t="s">
        <v>42</v>
      </c>
      <c r="G480" t="s">
        <v>23</v>
      </c>
      <c r="H480" s="3">
        <v>91884</v>
      </c>
      <c r="I480" s="3">
        <v>37810</v>
      </c>
      <c r="J480" s="3">
        <v>32668</v>
      </c>
      <c r="K480" s="3">
        <v>349</v>
      </c>
      <c r="L480" s="3">
        <v>48</v>
      </c>
      <c r="M480" s="3">
        <v>57</v>
      </c>
      <c r="N480" s="3">
        <v>39</v>
      </c>
      <c r="O480" s="3">
        <v>213</v>
      </c>
      <c r="P480" s="3"/>
      <c r="Q480" s="3">
        <v>493</v>
      </c>
      <c r="R480" s="4">
        <v>1.51</v>
      </c>
      <c r="S480" s="6">
        <f>GlowNestSocialTable[[#This Row],[Link Clicks]]/GlowNestSocialTable[[#This Row],[Reach]]</f>
        <v>6.5201420350189786E-3</v>
      </c>
    </row>
    <row r="481" spans="1:19">
      <c r="A481" t="s">
        <v>520</v>
      </c>
      <c r="B481" s="2">
        <v>45949</v>
      </c>
      <c r="C481" t="s">
        <v>19</v>
      </c>
      <c r="D481" t="s">
        <v>30</v>
      </c>
      <c r="E481" t="s">
        <v>25</v>
      </c>
      <c r="F481" t="s">
        <v>31</v>
      </c>
      <c r="G481" t="s">
        <v>23</v>
      </c>
      <c r="H481" s="3">
        <v>72779</v>
      </c>
      <c r="I481" s="3">
        <v>22870</v>
      </c>
      <c r="J481" s="3">
        <v>20909</v>
      </c>
      <c r="K481" s="3">
        <v>364</v>
      </c>
      <c r="L481" s="3">
        <v>43</v>
      </c>
      <c r="M481" s="3">
        <v>52</v>
      </c>
      <c r="N481" s="3">
        <v>50</v>
      </c>
      <c r="O481" s="3">
        <v>120</v>
      </c>
      <c r="P481" s="3"/>
      <c r="Q481" s="3">
        <v>509</v>
      </c>
      <c r="R481" s="4">
        <v>2.4300000000000002</v>
      </c>
      <c r="S481" s="6">
        <f>GlowNestSocialTable[[#This Row],[Link Clicks]]/GlowNestSocialTable[[#This Row],[Reach]]</f>
        <v>5.7391553876321201E-3</v>
      </c>
    </row>
    <row r="482" spans="1:19">
      <c r="A482" t="s">
        <v>521</v>
      </c>
      <c r="B482" s="2">
        <v>45949</v>
      </c>
      <c r="C482" t="s">
        <v>36</v>
      </c>
      <c r="D482" t="s">
        <v>34</v>
      </c>
      <c r="E482" t="s">
        <v>27</v>
      </c>
      <c r="F482" t="s">
        <v>22</v>
      </c>
      <c r="G482" t="s">
        <v>23</v>
      </c>
      <c r="H482" s="3">
        <v>90134</v>
      </c>
      <c r="I482" s="3">
        <v>49743</v>
      </c>
      <c r="J482" s="3">
        <v>35002</v>
      </c>
      <c r="K482" s="3">
        <v>496</v>
      </c>
      <c r="L482" s="3">
        <v>57</v>
      </c>
      <c r="M482" s="3">
        <v>47</v>
      </c>
      <c r="N482" s="3">
        <v>147</v>
      </c>
      <c r="O482" s="3">
        <v>222</v>
      </c>
      <c r="P482" s="3"/>
      <c r="Q482" s="3">
        <v>747</v>
      </c>
      <c r="R482" s="4">
        <v>2.13</v>
      </c>
      <c r="S482" s="6">
        <f>GlowNestSocialTable[[#This Row],[Link Clicks]]/GlowNestSocialTable[[#This Row],[Reach]]</f>
        <v>6.3424947145877377E-3</v>
      </c>
    </row>
    <row r="483" spans="1:19">
      <c r="A483" t="s">
        <v>522</v>
      </c>
      <c r="B483" s="2">
        <v>45950</v>
      </c>
      <c r="C483" t="s">
        <v>19</v>
      </c>
      <c r="D483" t="s">
        <v>37</v>
      </c>
      <c r="E483" t="s">
        <v>21</v>
      </c>
      <c r="F483" t="s">
        <v>31</v>
      </c>
      <c r="G483" t="s">
        <v>23</v>
      </c>
      <c r="H483" s="3">
        <v>74605</v>
      </c>
      <c r="I483" s="3">
        <v>30110</v>
      </c>
      <c r="J483" s="3">
        <v>23663</v>
      </c>
      <c r="K483" s="3">
        <v>974</v>
      </c>
      <c r="L483" s="3">
        <v>174</v>
      </c>
      <c r="M483" s="3">
        <v>87</v>
      </c>
      <c r="N483" s="3">
        <v>236</v>
      </c>
      <c r="O483" s="3">
        <v>259</v>
      </c>
      <c r="P483" s="3"/>
      <c r="Q483" s="3">
        <v>1471</v>
      </c>
      <c r="R483" s="4">
        <v>6.22</v>
      </c>
      <c r="S483" s="6">
        <f>GlowNestSocialTable[[#This Row],[Link Clicks]]/GlowNestSocialTable[[#This Row],[Reach]]</f>
        <v>1.0945357731479526E-2</v>
      </c>
    </row>
    <row r="484" spans="1:19">
      <c r="A484" t="s">
        <v>523</v>
      </c>
      <c r="B484" s="2">
        <v>45950</v>
      </c>
      <c r="C484" t="s">
        <v>19</v>
      </c>
      <c r="D484" t="s">
        <v>405</v>
      </c>
      <c r="E484" t="s">
        <v>46</v>
      </c>
      <c r="F484" t="s">
        <v>44</v>
      </c>
      <c r="G484" t="s">
        <v>23</v>
      </c>
      <c r="H484" s="3">
        <v>74440</v>
      </c>
      <c r="I484" s="3">
        <v>26407</v>
      </c>
      <c r="J484" s="3">
        <v>20640</v>
      </c>
      <c r="K484" s="3">
        <v>815</v>
      </c>
      <c r="L484" s="3">
        <v>121</v>
      </c>
      <c r="M484" s="3">
        <v>125</v>
      </c>
      <c r="N484" s="3">
        <v>28</v>
      </c>
      <c r="O484" s="3">
        <v>252</v>
      </c>
      <c r="P484" s="3"/>
      <c r="Q484" s="3">
        <v>1089</v>
      </c>
      <c r="R484" s="4">
        <v>5.28</v>
      </c>
      <c r="S484" s="6">
        <f>GlowNestSocialTable[[#This Row],[Link Clicks]]/GlowNestSocialTable[[#This Row],[Reach]]</f>
        <v>1.2209302325581395E-2</v>
      </c>
    </row>
    <row r="485" spans="1:19">
      <c r="A485" t="s">
        <v>524</v>
      </c>
      <c r="B485" s="2">
        <v>45951</v>
      </c>
      <c r="C485" t="s">
        <v>33</v>
      </c>
      <c r="D485" t="s">
        <v>20</v>
      </c>
      <c r="E485" t="s">
        <v>46</v>
      </c>
      <c r="F485" t="s">
        <v>28</v>
      </c>
      <c r="G485" t="s">
        <v>23</v>
      </c>
      <c r="H485" s="3">
        <v>33905</v>
      </c>
      <c r="I485" s="3">
        <v>15601</v>
      </c>
      <c r="J485" s="3">
        <v>11111</v>
      </c>
      <c r="K485" s="3">
        <v>366</v>
      </c>
      <c r="L485" s="3">
        <v>59</v>
      </c>
      <c r="M485" s="3">
        <v>45</v>
      </c>
      <c r="N485" s="3">
        <v>30</v>
      </c>
      <c r="O485" s="3">
        <v>152</v>
      </c>
      <c r="P485" s="3">
        <v>7497</v>
      </c>
      <c r="Q485" s="3">
        <v>500</v>
      </c>
      <c r="R485" s="4">
        <v>4.5</v>
      </c>
      <c r="S485" s="6">
        <f>GlowNestSocialTable[[#This Row],[Link Clicks]]/GlowNestSocialTable[[#This Row],[Reach]]</f>
        <v>1.3680136801368014E-2</v>
      </c>
    </row>
    <row r="486" spans="1:19">
      <c r="A486" t="s">
        <v>525</v>
      </c>
      <c r="B486" s="2">
        <v>45952</v>
      </c>
      <c r="C486" t="s">
        <v>36</v>
      </c>
      <c r="D486" t="s">
        <v>37</v>
      </c>
      <c r="E486" t="s">
        <v>27</v>
      </c>
      <c r="F486" t="s">
        <v>22</v>
      </c>
      <c r="G486" t="s">
        <v>23</v>
      </c>
      <c r="H486" s="3">
        <v>90774</v>
      </c>
      <c r="I486" s="3">
        <v>55533</v>
      </c>
      <c r="J486" s="3">
        <v>44790</v>
      </c>
      <c r="K486" s="3">
        <v>1217</v>
      </c>
      <c r="L486" s="3">
        <v>203</v>
      </c>
      <c r="M486" s="3">
        <v>161</v>
      </c>
      <c r="N486" s="3">
        <v>100</v>
      </c>
      <c r="O486" s="3">
        <v>217</v>
      </c>
      <c r="P486" s="3"/>
      <c r="Q486" s="3">
        <v>1681</v>
      </c>
      <c r="R486" s="4">
        <v>3.75</v>
      </c>
      <c r="S486" s="6">
        <f>GlowNestSocialTable[[#This Row],[Link Clicks]]/GlowNestSocialTable[[#This Row],[Reach]]</f>
        <v>4.8448314355883006E-3</v>
      </c>
    </row>
    <row r="487" spans="1:19">
      <c r="A487" t="s">
        <v>526</v>
      </c>
      <c r="B487" s="2">
        <v>45952</v>
      </c>
      <c r="C487" t="s">
        <v>36</v>
      </c>
      <c r="D487" t="s">
        <v>34</v>
      </c>
      <c r="E487" t="s">
        <v>25</v>
      </c>
      <c r="F487" t="s">
        <v>28</v>
      </c>
      <c r="G487" t="s">
        <v>23</v>
      </c>
      <c r="H487" s="3">
        <v>91070</v>
      </c>
      <c r="I487" s="3">
        <v>45233</v>
      </c>
      <c r="J487" s="3">
        <v>29290</v>
      </c>
      <c r="K487" s="3">
        <v>192</v>
      </c>
      <c r="L487" s="3">
        <v>29</v>
      </c>
      <c r="M487" s="3">
        <v>33</v>
      </c>
      <c r="N487" s="3">
        <v>22</v>
      </c>
      <c r="O487" s="3">
        <v>125</v>
      </c>
      <c r="P487" s="3"/>
      <c r="Q487" s="3">
        <v>276</v>
      </c>
      <c r="R487" s="4">
        <v>0.94</v>
      </c>
      <c r="S487" s="6">
        <f>GlowNestSocialTable[[#This Row],[Link Clicks]]/GlowNestSocialTable[[#This Row],[Reach]]</f>
        <v>4.2676681461249573E-3</v>
      </c>
    </row>
    <row r="488" spans="1:19">
      <c r="A488" t="s">
        <v>527</v>
      </c>
      <c r="B488" s="2">
        <v>45953</v>
      </c>
      <c r="C488" t="s">
        <v>36</v>
      </c>
      <c r="D488" t="s">
        <v>20</v>
      </c>
      <c r="E488" t="s">
        <v>27</v>
      </c>
      <c r="F488" t="s">
        <v>31</v>
      </c>
      <c r="G488" t="s">
        <v>23</v>
      </c>
      <c r="H488" s="3">
        <v>90271</v>
      </c>
      <c r="I488" s="3">
        <v>86404</v>
      </c>
      <c r="J488" s="3">
        <v>66420</v>
      </c>
      <c r="K488" s="3">
        <v>1963</v>
      </c>
      <c r="L488" s="3">
        <v>277</v>
      </c>
      <c r="M488" s="3">
        <v>292</v>
      </c>
      <c r="N488" s="3">
        <v>644</v>
      </c>
      <c r="O488" s="3">
        <v>308</v>
      </c>
      <c r="P488" s="3">
        <v>49626</v>
      </c>
      <c r="Q488" s="3">
        <v>3176</v>
      </c>
      <c r="R488" s="4">
        <v>4.78</v>
      </c>
      <c r="S488" s="6">
        <f>GlowNestSocialTable[[#This Row],[Link Clicks]]/GlowNestSocialTable[[#This Row],[Reach]]</f>
        <v>4.6371574826859384E-3</v>
      </c>
    </row>
    <row r="489" spans="1:19">
      <c r="A489" t="s">
        <v>528</v>
      </c>
      <c r="B489" s="2">
        <v>45953</v>
      </c>
      <c r="C489" t="s">
        <v>36</v>
      </c>
      <c r="D489" t="s">
        <v>30</v>
      </c>
      <c r="E489" t="s">
        <v>21</v>
      </c>
      <c r="F489" t="s">
        <v>44</v>
      </c>
      <c r="G489" t="s">
        <v>23</v>
      </c>
      <c r="H489" s="3">
        <v>90501</v>
      </c>
      <c r="I489" s="3">
        <v>39656</v>
      </c>
      <c r="J489" s="3">
        <v>29418</v>
      </c>
      <c r="K489" s="3">
        <v>343</v>
      </c>
      <c r="L489" s="3">
        <v>49</v>
      </c>
      <c r="M489" s="3">
        <v>49</v>
      </c>
      <c r="N489" s="3">
        <v>28</v>
      </c>
      <c r="O489" s="3">
        <v>153</v>
      </c>
      <c r="P489" s="3"/>
      <c r="Q489" s="3">
        <v>469</v>
      </c>
      <c r="R489" s="4">
        <v>1.59</v>
      </c>
      <c r="S489" s="6">
        <f>GlowNestSocialTable[[#This Row],[Link Clicks]]/GlowNestSocialTable[[#This Row],[Reach]]</f>
        <v>5.2008974097491334E-3</v>
      </c>
    </row>
    <row r="490" spans="1:19">
      <c r="A490" t="s">
        <v>529</v>
      </c>
      <c r="B490" s="2">
        <v>45954</v>
      </c>
      <c r="C490" t="s">
        <v>19</v>
      </c>
      <c r="D490" t="s">
        <v>20</v>
      </c>
      <c r="E490" t="s">
        <v>25</v>
      </c>
      <c r="G490" t="s">
        <v>23</v>
      </c>
      <c r="H490" s="3">
        <v>75476</v>
      </c>
      <c r="I490" s="3">
        <v>33599</v>
      </c>
      <c r="J490" s="3">
        <v>28444</v>
      </c>
      <c r="K490" s="3">
        <v>751</v>
      </c>
      <c r="L490" s="3">
        <v>85</v>
      </c>
      <c r="M490" s="3">
        <v>96</v>
      </c>
      <c r="N490" s="3">
        <v>158</v>
      </c>
      <c r="O490" s="3">
        <v>281</v>
      </c>
      <c r="P490" s="3">
        <v>16902</v>
      </c>
      <c r="Q490" s="3">
        <v>1090</v>
      </c>
      <c r="R490" s="4">
        <v>3.83</v>
      </c>
      <c r="S490" s="6">
        <f>GlowNestSocialTable[[#This Row],[Link Clicks]]/GlowNestSocialTable[[#This Row],[Reach]]</f>
        <v>9.8790606103220362E-3</v>
      </c>
    </row>
    <row r="491" spans="1:19">
      <c r="A491" t="s">
        <v>530</v>
      </c>
      <c r="B491" s="2">
        <v>45955</v>
      </c>
      <c r="C491" t="s">
        <v>19</v>
      </c>
      <c r="D491" t="s">
        <v>37</v>
      </c>
      <c r="E491" t="s">
        <v>46</v>
      </c>
      <c r="F491" t="s">
        <v>42</v>
      </c>
      <c r="G491" t="s">
        <v>23</v>
      </c>
      <c r="H491" s="3">
        <v>75509</v>
      </c>
      <c r="I491" s="3">
        <v>25684</v>
      </c>
      <c r="J491" s="3">
        <v>22294</v>
      </c>
      <c r="K491" s="3">
        <v>1015</v>
      </c>
      <c r="L491" s="3">
        <v>140</v>
      </c>
      <c r="M491" s="3">
        <v>91</v>
      </c>
      <c r="N491" s="3">
        <v>220</v>
      </c>
      <c r="O491" s="3">
        <v>282</v>
      </c>
      <c r="P491" s="3"/>
      <c r="Q491" s="3">
        <v>1466</v>
      </c>
      <c r="R491" s="4">
        <v>6.58</v>
      </c>
      <c r="S491" s="6">
        <f>GlowNestSocialTable[[#This Row],[Link Clicks]]/GlowNestSocialTable[[#This Row],[Reach]]</f>
        <v>1.2649143267246792E-2</v>
      </c>
    </row>
    <row r="492" spans="1:19">
      <c r="A492" t="s">
        <v>531</v>
      </c>
      <c r="B492" s="2">
        <v>45955</v>
      </c>
      <c r="C492" t="s">
        <v>36</v>
      </c>
      <c r="D492" t="s">
        <v>20</v>
      </c>
      <c r="E492" t="s">
        <v>21</v>
      </c>
      <c r="F492" t="s">
        <v>44</v>
      </c>
      <c r="G492" t="s">
        <v>23</v>
      </c>
      <c r="H492" s="3">
        <v>89595</v>
      </c>
      <c r="I492" s="3">
        <v>58526</v>
      </c>
      <c r="J492" s="3">
        <v>53393</v>
      </c>
      <c r="K492" s="3">
        <v>1359</v>
      </c>
      <c r="L492" s="3">
        <v>207</v>
      </c>
      <c r="M492" s="3">
        <v>177</v>
      </c>
      <c r="N492" s="3">
        <v>294</v>
      </c>
      <c r="O492" s="3">
        <v>261</v>
      </c>
      <c r="P492" s="3">
        <v>43372</v>
      </c>
      <c r="Q492" s="3">
        <v>2037</v>
      </c>
      <c r="R492" s="4">
        <v>3.82</v>
      </c>
      <c r="S492" s="6">
        <f>GlowNestSocialTable[[#This Row],[Link Clicks]]/GlowNestSocialTable[[#This Row],[Reach]]</f>
        <v>4.8882812353679321E-3</v>
      </c>
    </row>
    <row r="493" spans="1:19">
      <c r="A493" t="s">
        <v>532</v>
      </c>
      <c r="B493" s="2">
        <v>45956</v>
      </c>
      <c r="C493" t="s">
        <v>19</v>
      </c>
      <c r="D493" t="s">
        <v>30</v>
      </c>
      <c r="E493" t="s">
        <v>27</v>
      </c>
      <c r="F493" t="s">
        <v>31</v>
      </c>
      <c r="G493" t="s">
        <v>23</v>
      </c>
      <c r="H493" s="3">
        <v>75002</v>
      </c>
      <c r="I493" s="3">
        <v>34010</v>
      </c>
      <c r="J493" s="3">
        <v>23963</v>
      </c>
      <c r="K493" s="3">
        <v>1096</v>
      </c>
      <c r="L493" s="3">
        <v>116</v>
      </c>
      <c r="M493" s="3">
        <v>162</v>
      </c>
      <c r="N493" s="3">
        <v>244</v>
      </c>
      <c r="O493" s="3">
        <v>326</v>
      </c>
      <c r="P493" s="3"/>
      <c r="Q493" s="3">
        <v>1618</v>
      </c>
      <c r="R493" s="4">
        <v>6.75</v>
      </c>
      <c r="S493" s="6">
        <f>GlowNestSocialTable[[#This Row],[Link Clicks]]/GlowNestSocialTable[[#This Row],[Reach]]</f>
        <v>1.3604306639402411E-2</v>
      </c>
    </row>
    <row r="494" spans="1:19">
      <c r="A494" t="s">
        <v>533</v>
      </c>
      <c r="B494" s="2">
        <v>45956</v>
      </c>
      <c r="C494" t="s">
        <v>33</v>
      </c>
      <c r="D494" t="s">
        <v>20</v>
      </c>
      <c r="E494" t="s">
        <v>25</v>
      </c>
      <c r="F494" t="s">
        <v>22</v>
      </c>
      <c r="G494" t="s">
        <v>38</v>
      </c>
      <c r="H494" s="3">
        <v>38247</v>
      </c>
      <c r="I494" s="3">
        <v>19129</v>
      </c>
      <c r="J494" s="3">
        <v>15584</v>
      </c>
      <c r="K494" s="3">
        <v>306</v>
      </c>
      <c r="L494" s="3">
        <v>40</v>
      </c>
      <c r="M494" s="3">
        <v>47</v>
      </c>
      <c r="N494" s="3">
        <v>43</v>
      </c>
      <c r="O494" s="3">
        <v>166</v>
      </c>
      <c r="P494" s="3">
        <v>8649</v>
      </c>
      <c r="Q494" s="3">
        <v>436</v>
      </c>
      <c r="R494" s="4">
        <v>2.8</v>
      </c>
      <c r="S494" s="6">
        <f>GlowNestSocialTable[[#This Row],[Link Clicks]]/GlowNestSocialTable[[#This Row],[Reach]]</f>
        <v>1.0651950718685832E-2</v>
      </c>
    </row>
    <row r="495" spans="1:19">
      <c r="A495" t="s">
        <v>534</v>
      </c>
      <c r="B495" s="2">
        <v>45957</v>
      </c>
      <c r="C495" t="s">
        <v>33</v>
      </c>
      <c r="D495" t="s">
        <v>37</v>
      </c>
      <c r="E495" t="s">
        <v>25</v>
      </c>
      <c r="F495" t="s">
        <v>31</v>
      </c>
      <c r="G495" t="s">
        <v>23</v>
      </c>
      <c r="H495" s="3">
        <v>35503</v>
      </c>
      <c r="I495" s="3">
        <v>12322</v>
      </c>
      <c r="J495" s="3">
        <v>10978</v>
      </c>
      <c r="K495" s="3">
        <v>221</v>
      </c>
      <c r="L495" s="3">
        <v>34</v>
      </c>
      <c r="M495" s="3">
        <v>23</v>
      </c>
      <c r="N495" s="3">
        <v>29</v>
      </c>
      <c r="O495" s="3">
        <v>95</v>
      </c>
      <c r="P495" s="3"/>
      <c r="Q495" s="3">
        <v>307</v>
      </c>
      <c r="R495" s="4">
        <v>2.8</v>
      </c>
      <c r="S495" s="6">
        <f>GlowNestSocialTable[[#This Row],[Link Clicks]]/GlowNestSocialTable[[#This Row],[Reach]]</f>
        <v>8.6536709783202777E-3</v>
      </c>
    </row>
    <row r="496" spans="1:19">
      <c r="A496" t="s">
        <v>535</v>
      </c>
      <c r="B496" s="2">
        <v>45958</v>
      </c>
      <c r="C496" t="s">
        <v>19</v>
      </c>
      <c r="D496" t="s">
        <v>20</v>
      </c>
      <c r="E496" t="s">
        <v>25</v>
      </c>
      <c r="F496" t="s">
        <v>28</v>
      </c>
      <c r="G496" t="s">
        <v>38</v>
      </c>
      <c r="H496" s="3">
        <v>75657</v>
      </c>
      <c r="I496" s="3">
        <v>64351</v>
      </c>
      <c r="J496" s="3">
        <v>57863</v>
      </c>
      <c r="K496" s="3">
        <v>1931</v>
      </c>
      <c r="L496" s="3">
        <v>221</v>
      </c>
      <c r="M496" s="3">
        <v>233</v>
      </c>
      <c r="N496" s="3">
        <v>423</v>
      </c>
      <c r="O496" s="3">
        <v>578</v>
      </c>
      <c r="P496" s="3">
        <v>39387</v>
      </c>
      <c r="Q496" s="3">
        <v>2808</v>
      </c>
      <c r="R496" s="4">
        <v>4.8499999999999996</v>
      </c>
      <c r="S496" s="6">
        <f>GlowNestSocialTable[[#This Row],[Link Clicks]]/GlowNestSocialTable[[#This Row],[Reach]]</f>
        <v>9.9891122133314893E-3</v>
      </c>
    </row>
    <row r="497" spans="1:19">
      <c r="A497" t="s">
        <v>536</v>
      </c>
      <c r="B497" s="2">
        <v>45958</v>
      </c>
      <c r="C497" t="s">
        <v>19</v>
      </c>
      <c r="D497" t="s">
        <v>20</v>
      </c>
      <c r="E497" t="s">
        <v>49</v>
      </c>
      <c r="F497" t="s">
        <v>28</v>
      </c>
      <c r="G497" t="s">
        <v>23</v>
      </c>
      <c r="H497" s="3">
        <v>76234</v>
      </c>
      <c r="I497" s="3">
        <v>60528</v>
      </c>
      <c r="J497" s="3">
        <v>39151</v>
      </c>
      <c r="K497" s="3">
        <v>1892</v>
      </c>
      <c r="L497" s="3">
        <v>210</v>
      </c>
      <c r="M497" s="3">
        <v>314</v>
      </c>
      <c r="N497" s="3">
        <v>388</v>
      </c>
      <c r="O497" s="3">
        <v>420</v>
      </c>
      <c r="P497" s="3">
        <v>29891</v>
      </c>
      <c r="Q497" s="3">
        <v>2804</v>
      </c>
      <c r="R497" s="4">
        <v>7.16</v>
      </c>
      <c r="S497" s="6">
        <f>GlowNestSocialTable[[#This Row],[Link Clicks]]/GlowNestSocialTable[[#This Row],[Reach]]</f>
        <v>1.072769533345253E-2</v>
      </c>
    </row>
    <row r="498" spans="1:19">
      <c r="A498" t="s">
        <v>537</v>
      </c>
      <c r="B498" s="2">
        <v>45959</v>
      </c>
      <c r="C498" t="s">
        <v>19</v>
      </c>
      <c r="D498" t="s">
        <v>20</v>
      </c>
      <c r="E498" t="s">
        <v>49</v>
      </c>
      <c r="F498" t="s">
        <v>22</v>
      </c>
      <c r="G498" t="s">
        <v>23</v>
      </c>
      <c r="H498" s="3">
        <v>74744</v>
      </c>
      <c r="I498" s="3">
        <v>55932</v>
      </c>
      <c r="J498" s="3">
        <v>38348</v>
      </c>
      <c r="K498" s="3">
        <v>1969</v>
      </c>
      <c r="L498" s="3">
        <v>322</v>
      </c>
      <c r="M498" s="3">
        <v>202</v>
      </c>
      <c r="N498" s="3">
        <v>132</v>
      </c>
      <c r="O498" s="3">
        <v>352</v>
      </c>
      <c r="P498" s="3">
        <v>27098</v>
      </c>
      <c r="Q498" s="3">
        <v>2625</v>
      </c>
      <c r="R498" s="4">
        <v>6.85</v>
      </c>
      <c r="S498" s="6">
        <f>GlowNestSocialTable[[#This Row],[Link Clicks]]/GlowNestSocialTable[[#This Row],[Reach]]</f>
        <v>9.1790966934390313E-3</v>
      </c>
    </row>
    <row r="499" spans="1:19">
      <c r="A499" t="s">
        <v>538</v>
      </c>
      <c r="B499" s="2">
        <v>45960</v>
      </c>
      <c r="C499" t="s">
        <v>33</v>
      </c>
      <c r="D499" t="s">
        <v>34</v>
      </c>
      <c r="E499" t="s">
        <v>21</v>
      </c>
      <c r="F499" t="s">
        <v>44</v>
      </c>
      <c r="G499" t="s">
        <v>23</v>
      </c>
      <c r="H499" s="3">
        <v>36245</v>
      </c>
      <c r="I499" s="3">
        <v>10481</v>
      </c>
      <c r="J499" s="3">
        <v>7185</v>
      </c>
      <c r="K499" s="3">
        <v>145</v>
      </c>
      <c r="L499" s="3">
        <v>23</v>
      </c>
      <c r="M499" s="3">
        <v>14</v>
      </c>
      <c r="N499" s="3">
        <v>34</v>
      </c>
      <c r="O499" s="3">
        <v>129</v>
      </c>
      <c r="P499" s="3"/>
      <c r="Q499" s="3">
        <v>216</v>
      </c>
      <c r="R499" s="4">
        <v>3.01</v>
      </c>
      <c r="S499" s="6">
        <f>GlowNestSocialTable[[#This Row],[Link Clicks]]/GlowNestSocialTable[[#This Row],[Reach]]</f>
        <v>1.7954070981210855E-2</v>
      </c>
    </row>
    <row r="500" spans="1:19">
      <c r="A500" t="s">
        <v>539</v>
      </c>
      <c r="B500" s="2">
        <v>45960</v>
      </c>
      <c r="C500" t="s">
        <v>19</v>
      </c>
      <c r="D500" t="s">
        <v>20</v>
      </c>
      <c r="E500" t="s">
        <v>27</v>
      </c>
      <c r="F500" t="s">
        <v>31</v>
      </c>
      <c r="G500" t="s">
        <v>23</v>
      </c>
      <c r="H500" s="3">
        <v>74237</v>
      </c>
      <c r="I500" s="3">
        <v>46181</v>
      </c>
      <c r="J500" s="3">
        <v>33849</v>
      </c>
      <c r="K500" s="3">
        <v>2538</v>
      </c>
      <c r="L500" s="3">
        <v>294</v>
      </c>
      <c r="M500" s="3">
        <v>373</v>
      </c>
      <c r="N500" s="3">
        <v>368</v>
      </c>
      <c r="O500" s="3">
        <v>465</v>
      </c>
      <c r="P500" s="3">
        <v>27903</v>
      </c>
      <c r="Q500" s="3">
        <v>3573</v>
      </c>
      <c r="R500" s="4">
        <v>10.56</v>
      </c>
      <c r="S500" s="6">
        <f>GlowNestSocialTable[[#This Row],[Link Clicks]]/GlowNestSocialTable[[#This Row],[Reach]]</f>
        <v>1.3737481166356466E-2</v>
      </c>
    </row>
    <row r="501" spans="1:19">
      <c r="A501" t="s">
        <v>540</v>
      </c>
      <c r="B501" s="2">
        <v>45961</v>
      </c>
      <c r="C501" t="s">
        <v>36</v>
      </c>
      <c r="D501" t="s">
        <v>30</v>
      </c>
      <c r="E501" t="s">
        <v>49</v>
      </c>
      <c r="F501" t="s">
        <v>42</v>
      </c>
      <c r="G501" t="s">
        <v>23</v>
      </c>
      <c r="H501" s="3">
        <v>92025</v>
      </c>
      <c r="I501" s="3">
        <v>45399</v>
      </c>
      <c r="J501" s="3">
        <v>29590</v>
      </c>
      <c r="K501" s="3">
        <v>349</v>
      </c>
      <c r="L501" s="3">
        <v>43</v>
      </c>
      <c r="M501" s="3">
        <v>38</v>
      </c>
      <c r="N501" s="3">
        <v>32</v>
      </c>
      <c r="O501" s="3">
        <v>88</v>
      </c>
      <c r="P501" s="3"/>
      <c r="Q501" s="3">
        <v>462</v>
      </c>
      <c r="R501" s="4">
        <v>1.56</v>
      </c>
      <c r="S501" s="6">
        <f>GlowNestSocialTable[[#This Row],[Link Clicks]]/GlowNestSocialTable[[#This Row],[Reach]]</f>
        <v>2.9739776951672862E-3</v>
      </c>
    </row>
    <row r="502" spans="1:19">
      <c r="A502" t="s">
        <v>541</v>
      </c>
      <c r="B502" s="2">
        <v>45961</v>
      </c>
      <c r="C502" t="s">
        <v>19</v>
      </c>
      <c r="D502" t="s">
        <v>20</v>
      </c>
      <c r="E502" t="s">
        <v>27</v>
      </c>
      <c r="F502" t="s">
        <v>42</v>
      </c>
      <c r="G502" t="s">
        <v>23</v>
      </c>
      <c r="H502" s="3">
        <v>73627</v>
      </c>
      <c r="I502" s="3">
        <v>47651</v>
      </c>
      <c r="J502" s="3">
        <v>37841</v>
      </c>
      <c r="K502" s="3">
        <v>1890</v>
      </c>
      <c r="L502" s="3">
        <v>347</v>
      </c>
      <c r="M502" s="3">
        <v>199</v>
      </c>
      <c r="N502" s="3">
        <v>491</v>
      </c>
      <c r="O502" s="3">
        <v>617</v>
      </c>
      <c r="P502" s="3">
        <v>30425</v>
      </c>
      <c r="Q502" s="3">
        <v>2927</v>
      </c>
      <c r="R502" s="4">
        <v>7.73</v>
      </c>
      <c r="S502" s="6">
        <f>GlowNestSocialTable[[#This Row],[Link Clicks]]/GlowNestSocialTable[[#This Row],[Reach]]</f>
        <v>1.6305065933775533E-2</v>
      </c>
    </row>
    <row r="503" spans="1:19">
      <c r="A503" t="s">
        <v>542</v>
      </c>
      <c r="B503" s="2">
        <v>45962</v>
      </c>
      <c r="C503" t="s">
        <v>36</v>
      </c>
      <c r="D503" t="s">
        <v>37</v>
      </c>
      <c r="E503" t="s">
        <v>49</v>
      </c>
      <c r="F503" t="s">
        <v>31</v>
      </c>
      <c r="G503" t="s">
        <v>23</v>
      </c>
      <c r="H503" s="3">
        <v>90365</v>
      </c>
      <c r="I503" s="3">
        <v>57338</v>
      </c>
      <c r="J503" s="3">
        <v>46855</v>
      </c>
      <c r="K503" s="3">
        <v>817</v>
      </c>
      <c r="L503" s="3">
        <v>141</v>
      </c>
      <c r="M503" s="3">
        <v>109</v>
      </c>
      <c r="N503" s="3">
        <v>206</v>
      </c>
      <c r="O503" s="3">
        <v>174</v>
      </c>
      <c r="P503" s="3"/>
      <c r="Q503" s="3">
        <v>1273</v>
      </c>
      <c r="R503" s="4">
        <v>2.72</v>
      </c>
      <c r="S503" s="6">
        <f>GlowNestSocialTable[[#This Row],[Link Clicks]]/GlowNestSocialTable[[#This Row],[Reach]]</f>
        <v>3.7135844627040871E-3</v>
      </c>
    </row>
    <row r="504" spans="1:19">
      <c r="A504" t="s">
        <v>543</v>
      </c>
      <c r="B504" s="2">
        <v>45963</v>
      </c>
      <c r="C504" t="s">
        <v>33</v>
      </c>
      <c r="D504" t="s">
        <v>34</v>
      </c>
      <c r="E504" t="s">
        <v>46</v>
      </c>
      <c r="F504" t="s">
        <v>31</v>
      </c>
      <c r="G504" t="s">
        <v>23</v>
      </c>
      <c r="H504" s="3">
        <v>35696</v>
      </c>
      <c r="I504" s="3">
        <v>10186</v>
      </c>
      <c r="J504" s="3">
        <v>7250</v>
      </c>
      <c r="K504" s="3">
        <v>157</v>
      </c>
      <c r="L504" s="3">
        <v>26</v>
      </c>
      <c r="M504" s="3">
        <v>14</v>
      </c>
      <c r="N504" s="3">
        <v>12</v>
      </c>
      <c r="O504" s="3">
        <v>143</v>
      </c>
      <c r="P504" s="3"/>
      <c r="Q504" s="3">
        <v>209</v>
      </c>
      <c r="R504" s="4">
        <v>2.88</v>
      </c>
      <c r="S504" s="6">
        <f>GlowNestSocialTable[[#This Row],[Link Clicks]]/GlowNestSocialTable[[#This Row],[Reach]]</f>
        <v>1.9724137931034481E-2</v>
      </c>
    </row>
    <row r="505" spans="1:19">
      <c r="A505" t="s">
        <v>544</v>
      </c>
      <c r="B505" s="2">
        <v>45963</v>
      </c>
      <c r="C505" t="s">
        <v>33</v>
      </c>
      <c r="D505" t="s">
        <v>34</v>
      </c>
      <c r="E505" t="s">
        <v>49</v>
      </c>
      <c r="F505" t="s">
        <v>22</v>
      </c>
      <c r="G505" t="s">
        <v>23</v>
      </c>
      <c r="H505" s="3">
        <v>34598</v>
      </c>
      <c r="I505" s="3">
        <v>9802</v>
      </c>
      <c r="J505" s="3">
        <v>6692</v>
      </c>
      <c r="K505" s="3">
        <v>127</v>
      </c>
      <c r="L505" s="3">
        <v>19</v>
      </c>
      <c r="M505" s="3">
        <v>12</v>
      </c>
      <c r="N505" s="3">
        <v>21</v>
      </c>
      <c r="O505" s="3">
        <v>83</v>
      </c>
      <c r="P505" s="3"/>
      <c r="Q505" s="3">
        <v>179</v>
      </c>
      <c r="R505" s="4">
        <v>2.67</v>
      </c>
      <c r="S505" s="6">
        <f>GlowNestSocialTable[[#This Row],[Link Clicks]]/GlowNestSocialTable[[#This Row],[Reach]]</f>
        <v>1.2402869097429766E-2</v>
      </c>
    </row>
    <row r="506" spans="1:19">
      <c r="A506" t="s">
        <v>545</v>
      </c>
      <c r="B506" s="2">
        <v>45964</v>
      </c>
      <c r="C506" t="s">
        <v>33</v>
      </c>
      <c r="D506" t="s">
        <v>34</v>
      </c>
      <c r="E506" t="s">
        <v>49</v>
      </c>
      <c r="F506" t="s">
        <v>44</v>
      </c>
      <c r="G506" t="s">
        <v>23</v>
      </c>
      <c r="H506" s="3">
        <v>34702</v>
      </c>
      <c r="I506" s="3">
        <v>10338</v>
      </c>
      <c r="J506" s="3">
        <v>7808</v>
      </c>
      <c r="K506" s="3">
        <v>142</v>
      </c>
      <c r="L506" s="3">
        <v>24</v>
      </c>
      <c r="M506" s="3">
        <v>18</v>
      </c>
      <c r="N506" s="3">
        <v>14</v>
      </c>
      <c r="O506" s="3">
        <v>83</v>
      </c>
      <c r="P506" s="3"/>
      <c r="Q506" s="3">
        <v>198</v>
      </c>
      <c r="R506" s="4">
        <v>2.54</v>
      </c>
      <c r="S506" s="6">
        <f>GlowNestSocialTable[[#This Row],[Link Clicks]]/GlowNestSocialTable[[#This Row],[Reach]]</f>
        <v>1.0630122950819672E-2</v>
      </c>
    </row>
    <row r="507" spans="1:19">
      <c r="A507" t="s">
        <v>546</v>
      </c>
      <c r="B507" s="2">
        <v>45964</v>
      </c>
      <c r="C507" t="s">
        <v>36</v>
      </c>
      <c r="D507" t="s">
        <v>37</v>
      </c>
      <c r="E507" t="s">
        <v>25</v>
      </c>
      <c r="F507" t="s">
        <v>42</v>
      </c>
      <c r="G507" t="s">
        <v>38</v>
      </c>
      <c r="H507" s="3">
        <v>91059</v>
      </c>
      <c r="I507" s="3">
        <v>89987</v>
      </c>
      <c r="J507" s="3">
        <v>70641</v>
      </c>
      <c r="K507" s="3">
        <v>812</v>
      </c>
      <c r="L507" s="3">
        <v>144</v>
      </c>
      <c r="M507" s="3">
        <v>146</v>
      </c>
      <c r="N507" s="3">
        <v>100</v>
      </c>
      <c r="O507" s="3">
        <v>246</v>
      </c>
      <c r="P507" s="3"/>
      <c r="Q507" s="3">
        <v>1202</v>
      </c>
      <c r="R507" s="4">
        <v>1.7</v>
      </c>
      <c r="S507" s="6">
        <f>GlowNestSocialTable[[#This Row],[Link Clicks]]/GlowNestSocialTable[[#This Row],[Reach]]</f>
        <v>3.4823969083110375E-3</v>
      </c>
    </row>
    <row r="508" spans="1:19">
      <c r="A508" t="s">
        <v>547</v>
      </c>
      <c r="B508" s="2">
        <v>45965</v>
      </c>
      <c r="C508" t="s">
        <v>36</v>
      </c>
      <c r="D508" t="s">
        <v>30</v>
      </c>
      <c r="E508" t="s">
        <v>25</v>
      </c>
      <c r="F508" t="s">
        <v>42</v>
      </c>
      <c r="G508" t="s">
        <v>23</v>
      </c>
      <c r="H508" s="3">
        <v>92987</v>
      </c>
      <c r="I508" s="3">
        <v>48436</v>
      </c>
      <c r="J508" s="3">
        <v>44758</v>
      </c>
      <c r="K508" s="3">
        <v>404</v>
      </c>
      <c r="L508" s="3">
        <v>63</v>
      </c>
      <c r="M508" s="3">
        <v>54</v>
      </c>
      <c r="N508" s="3">
        <v>64</v>
      </c>
      <c r="O508" s="3">
        <v>129</v>
      </c>
      <c r="P508" s="3"/>
      <c r="Q508" s="3">
        <v>585</v>
      </c>
      <c r="R508" s="4">
        <v>1.31</v>
      </c>
      <c r="S508" s="6">
        <f>GlowNestSocialTable[[#This Row],[Link Clicks]]/GlowNestSocialTable[[#This Row],[Reach]]</f>
        <v>2.8821663166361321E-3</v>
      </c>
    </row>
    <row r="509" spans="1:19">
      <c r="A509" t="s">
        <v>548</v>
      </c>
      <c r="B509" s="2">
        <v>45966</v>
      </c>
      <c r="C509" t="s">
        <v>19</v>
      </c>
      <c r="D509" t="s">
        <v>37</v>
      </c>
      <c r="E509" t="s">
        <v>27</v>
      </c>
      <c r="F509" t="s">
        <v>44</v>
      </c>
      <c r="G509" t="s">
        <v>23</v>
      </c>
      <c r="H509" s="3">
        <v>72978</v>
      </c>
      <c r="I509" s="3">
        <v>32835</v>
      </c>
      <c r="J509" s="3">
        <v>22843</v>
      </c>
      <c r="K509" s="3">
        <v>949</v>
      </c>
      <c r="L509" s="3">
        <v>148</v>
      </c>
      <c r="M509" s="3">
        <v>106</v>
      </c>
      <c r="N509" s="3">
        <v>166</v>
      </c>
      <c r="O509" s="3">
        <v>385</v>
      </c>
      <c r="P509" s="3"/>
      <c r="Q509" s="3">
        <v>1369</v>
      </c>
      <c r="R509" s="4">
        <v>5.99</v>
      </c>
      <c r="S509" s="6">
        <f>GlowNestSocialTable[[#This Row],[Link Clicks]]/GlowNestSocialTable[[#This Row],[Reach]]</f>
        <v>1.6854178522961082E-2</v>
      </c>
    </row>
    <row r="510" spans="1:19">
      <c r="A510" t="s">
        <v>549</v>
      </c>
      <c r="B510" s="2">
        <v>45966</v>
      </c>
      <c r="C510" t="s">
        <v>19</v>
      </c>
      <c r="D510" t="s">
        <v>30</v>
      </c>
      <c r="E510" t="s">
        <v>27</v>
      </c>
      <c r="F510" t="s">
        <v>28</v>
      </c>
      <c r="G510" t="s">
        <v>23</v>
      </c>
      <c r="H510" s="3">
        <v>73134</v>
      </c>
      <c r="I510" s="3">
        <v>31273</v>
      </c>
      <c r="J510" s="3">
        <v>27989</v>
      </c>
      <c r="K510" s="3">
        <v>1094</v>
      </c>
      <c r="L510" s="3">
        <v>156</v>
      </c>
      <c r="M510" s="3">
        <v>156</v>
      </c>
      <c r="N510" s="3">
        <v>201</v>
      </c>
      <c r="O510" s="3">
        <v>272</v>
      </c>
      <c r="P510" s="3"/>
      <c r="Q510" s="3">
        <v>1607</v>
      </c>
      <c r="R510" s="4">
        <v>5.74</v>
      </c>
      <c r="S510" s="6">
        <f>GlowNestSocialTable[[#This Row],[Link Clicks]]/GlowNestSocialTable[[#This Row],[Reach]]</f>
        <v>9.7181035406766949E-3</v>
      </c>
    </row>
    <row r="511" spans="1:19">
      <c r="A511" t="s">
        <v>550</v>
      </c>
      <c r="B511" s="2">
        <v>45967</v>
      </c>
      <c r="C511" t="s">
        <v>36</v>
      </c>
      <c r="D511" t="s">
        <v>30</v>
      </c>
      <c r="E511" t="s">
        <v>25</v>
      </c>
      <c r="F511" t="s">
        <v>22</v>
      </c>
      <c r="G511" t="s">
        <v>23</v>
      </c>
      <c r="H511" s="3">
        <v>89363</v>
      </c>
      <c r="I511" s="3">
        <v>46405</v>
      </c>
      <c r="J511" s="3">
        <v>35968</v>
      </c>
      <c r="K511" s="3">
        <v>332</v>
      </c>
      <c r="L511" s="3">
        <v>46</v>
      </c>
      <c r="M511" s="3">
        <v>48</v>
      </c>
      <c r="N511" s="3">
        <v>14</v>
      </c>
      <c r="O511" s="3">
        <v>109</v>
      </c>
      <c r="P511" s="3"/>
      <c r="Q511" s="3">
        <v>440</v>
      </c>
      <c r="R511" s="4">
        <v>1.22</v>
      </c>
      <c r="S511" s="6">
        <f>GlowNestSocialTable[[#This Row],[Link Clicks]]/GlowNestSocialTable[[#This Row],[Reach]]</f>
        <v>3.0304715302491101E-3</v>
      </c>
    </row>
    <row r="512" spans="1:19">
      <c r="A512" t="s">
        <v>551</v>
      </c>
      <c r="B512" s="2">
        <v>45967</v>
      </c>
      <c r="C512" t="s">
        <v>19</v>
      </c>
      <c r="D512" t="s">
        <v>20</v>
      </c>
      <c r="E512" t="s">
        <v>27</v>
      </c>
      <c r="F512" t="s">
        <v>44</v>
      </c>
      <c r="G512" t="s">
        <v>23</v>
      </c>
      <c r="H512" s="3">
        <v>76741</v>
      </c>
      <c r="I512" s="3">
        <v>49929</v>
      </c>
      <c r="J512" s="3">
        <v>34730</v>
      </c>
      <c r="K512" s="3">
        <v>1667</v>
      </c>
      <c r="L512" s="3">
        <v>286</v>
      </c>
      <c r="M512" s="3">
        <v>237</v>
      </c>
      <c r="N512" s="3">
        <v>816</v>
      </c>
      <c r="O512" s="3">
        <v>410</v>
      </c>
      <c r="P512" s="3">
        <v>20618</v>
      </c>
      <c r="Q512" s="3">
        <v>3006</v>
      </c>
      <c r="R512" s="4">
        <v>8.66</v>
      </c>
      <c r="S512" s="6">
        <f>GlowNestSocialTable[[#This Row],[Link Clicks]]/GlowNestSocialTable[[#This Row],[Reach]]</f>
        <v>1.1805355600345523E-2</v>
      </c>
    </row>
    <row r="513" spans="1:19">
      <c r="A513" t="s">
        <v>552</v>
      </c>
      <c r="B513" s="2">
        <v>45968</v>
      </c>
      <c r="C513" t="s">
        <v>36</v>
      </c>
      <c r="D513" t="s">
        <v>20</v>
      </c>
      <c r="E513" t="s">
        <v>27</v>
      </c>
      <c r="F513" t="s">
        <v>22</v>
      </c>
      <c r="G513" t="s">
        <v>23</v>
      </c>
      <c r="H513" s="3">
        <v>91018</v>
      </c>
      <c r="I513" s="3">
        <v>62931</v>
      </c>
      <c r="J513" s="3">
        <v>50729</v>
      </c>
      <c r="K513" s="3">
        <v>1175</v>
      </c>
      <c r="L513" s="3">
        <v>119</v>
      </c>
      <c r="M513" s="3">
        <v>98</v>
      </c>
      <c r="N513" s="3">
        <v>430</v>
      </c>
      <c r="O513" s="3">
        <v>345</v>
      </c>
      <c r="P513" s="3">
        <v>30930</v>
      </c>
      <c r="Q513" s="3">
        <v>1822</v>
      </c>
      <c r="R513" s="4">
        <v>3.59</v>
      </c>
      <c r="S513" s="6">
        <f>GlowNestSocialTable[[#This Row],[Link Clicks]]/GlowNestSocialTable[[#This Row],[Reach]]</f>
        <v>6.8008436988704684E-3</v>
      </c>
    </row>
    <row r="514" spans="1:19">
      <c r="A514" t="s">
        <v>553</v>
      </c>
      <c r="B514" s="2">
        <v>45969</v>
      </c>
      <c r="C514" t="s">
        <v>33</v>
      </c>
      <c r="D514" t="s">
        <v>34</v>
      </c>
      <c r="E514" t="s">
        <v>27</v>
      </c>
      <c r="F514" t="s">
        <v>22</v>
      </c>
      <c r="G514" t="s">
        <v>23</v>
      </c>
      <c r="H514" s="3">
        <v>33576</v>
      </c>
      <c r="I514" s="3">
        <v>8841</v>
      </c>
      <c r="J514" s="3">
        <v>7707</v>
      </c>
      <c r="K514" s="3">
        <v>221</v>
      </c>
      <c r="L514" s="3">
        <v>30</v>
      </c>
      <c r="M514" s="3">
        <v>31</v>
      </c>
      <c r="N514" s="3">
        <v>34</v>
      </c>
      <c r="O514" s="3">
        <v>143</v>
      </c>
      <c r="P514" s="3"/>
      <c r="Q514" s="3">
        <v>316</v>
      </c>
      <c r="R514" s="4">
        <v>4.0999999999999996</v>
      </c>
      <c r="S514" s="6">
        <f>GlowNestSocialTable[[#This Row],[Link Clicks]]/GlowNestSocialTable[[#This Row],[Reach]]</f>
        <v>1.8554560788893212E-2</v>
      </c>
    </row>
    <row r="515" spans="1:19">
      <c r="A515" t="s">
        <v>554</v>
      </c>
      <c r="B515" s="2">
        <v>45969</v>
      </c>
      <c r="C515" t="s">
        <v>36</v>
      </c>
      <c r="D515" t="s">
        <v>30</v>
      </c>
      <c r="E515" t="s">
        <v>25</v>
      </c>
      <c r="F515" t="s">
        <v>22</v>
      </c>
      <c r="G515" t="s">
        <v>23</v>
      </c>
      <c r="H515" s="3">
        <v>92565</v>
      </c>
      <c r="I515" s="3">
        <v>64104</v>
      </c>
      <c r="J515" s="3">
        <v>45009</v>
      </c>
      <c r="K515" s="3">
        <v>332</v>
      </c>
      <c r="L515" s="3">
        <v>41</v>
      </c>
      <c r="M515" s="3">
        <v>51</v>
      </c>
      <c r="N515" s="3">
        <v>37</v>
      </c>
      <c r="O515" s="3">
        <v>151</v>
      </c>
      <c r="P515" s="3"/>
      <c r="Q515" s="3">
        <v>461</v>
      </c>
      <c r="R515" s="4">
        <v>1.02</v>
      </c>
      <c r="S515" s="6">
        <f>GlowNestSocialTable[[#This Row],[Link Clicks]]/GlowNestSocialTable[[#This Row],[Reach]]</f>
        <v>3.3548845786398277E-3</v>
      </c>
    </row>
    <row r="516" spans="1:19">
      <c r="A516" t="s">
        <v>555</v>
      </c>
      <c r="B516" s="2">
        <v>45970</v>
      </c>
      <c r="C516" t="s">
        <v>33</v>
      </c>
      <c r="D516" t="s">
        <v>30</v>
      </c>
      <c r="E516" t="s">
        <v>49</v>
      </c>
      <c r="F516" t="s">
        <v>44</v>
      </c>
      <c r="G516" t="s">
        <v>23</v>
      </c>
      <c r="H516" s="3">
        <v>34475</v>
      </c>
      <c r="I516" s="3">
        <v>12634</v>
      </c>
      <c r="J516" s="3">
        <v>9511</v>
      </c>
      <c r="K516" s="3">
        <v>231</v>
      </c>
      <c r="L516" s="3">
        <v>28</v>
      </c>
      <c r="M516" s="3">
        <v>25</v>
      </c>
      <c r="N516" s="3">
        <v>30</v>
      </c>
      <c r="O516" s="3">
        <v>109</v>
      </c>
      <c r="P516" s="3"/>
      <c r="Q516" s="3">
        <v>314</v>
      </c>
      <c r="R516" s="4">
        <v>3.3</v>
      </c>
      <c r="S516" s="6">
        <f>GlowNestSocialTable[[#This Row],[Link Clicks]]/GlowNestSocialTable[[#This Row],[Reach]]</f>
        <v>1.1460414257175901E-2</v>
      </c>
    </row>
    <row r="517" spans="1:19">
      <c r="A517" t="s">
        <v>556</v>
      </c>
      <c r="B517" s="2">
        <v>45970</v>
      </c>
      <c r="C517" t="s">
        <v>36</v>
      </c>
      <c r="D517" t="s">
        <v>30</v>
      </c>
      <c r="E517" t="s">
        <v>49</v>
      </c>
      <c r="F517" t="s">
        <v>44</v>
      </c>
      <c r="G517" t="s">
        <v>38</v>
      </c>
      <c r="H517" s="3">
        <v>89027</v>
      </c>
      <c r="I517" s="3">
        <v>73866</v>
      </c>
      <c r="J517" s="3">
        <v>52699</v>
      </c>
      <c r="K517" s="3">
        <v>647</v>
      </c>
      <c r="L517" s="3">
        <v>109</v>
      </c>
      <c r="M517" s="3">
        <v>64</v>
      </c>
      <c r="N517" s="3">
        <v>125</v>
      </c>
      <c r="O517" s="3">
        <v>212</v>
      </c>
      <c r="P517" s="3"/>
      <c r="Q517" s="3">
        <v>945</v>
      </c>
      <c r="R517" s="4">
        <v>1.79</v>
      </c>
      <c r="S517" s="6">
        <f>GlowNestSocialTable[[#This Row],[Link Clicks]]/GlowNestSocialTable[[#This Row],[Reach]]</f>
        <v>4.022846733334598E-3</v>
      </c>
    </row>
    <row r="518" spans="1:19">
      <c r="A518" t="s">
        <v>557</v>
      </c>
      <c r="B518" s="2">
        <v>45971</v>
      </c>
      <c r="C518" t="s">
        <v>36</v>
      </c>
      <c r="D518" t="s">
        <v>30</v>
      </c>
      <c r="E518" t="s">
        <v>27</v>
      </c>
      <c r="F518" t="s">
        <v>28</v>
      </c>
      <c r="G518" t="s">
        <v>23</v>
      </c>
      <c r="H518" s="3">
        <v>89939</v>
      </c>
      <c r="I518" s="3">
        <v>55216</v>
      </c>
      <c r="J518" s="3">
        <v>45265</v>
      </c>
      <c r="K518" s="3">
        <v>713</v>
      </c>
      <c r="L518" s="3">
        <v>120</v>
      </c>
      <c r="M518" s="3">
        <v>80</v>
      </c>
      <c r="N518" s="3">
        <v>106</v>
      </c>
      <c r="O518" s="3">
        <v>186</v>
      </c>
      <c r="P518" s="3"/>
      <c r="Q518" s="3">
        <v>1019</v>
      </c>
      <c r="R518" s="4">
        <v>2.25</v>
      </c>
      <c r="S518" s="6">
        <f>GlowNestSocialTable[[#This Row],[Link Clicks]]/GlowNestSocialTable[[#This Row],[Reach]]</f>
        <v>4.1091350933392242E-3</v>
      </c>
    </row>
    <row r="519" spans="1:19">
      <c r="A519" t="s">
        <v>558</v>
      </c>
      <c r="B519" s="2">
        <v>45972</v>
      </c>
      <c r="C519" t="s">
        <v>19</v>
      </c>
      <c r="D519" t="s">
        <v>30</v>
      </c>
      <c r="E519" t="s">
        <v>49</v>
      </c>
      <c r="F519" t="s">
        <v>42</v>
      </c>
      <c r="G519" t="s">
        <v>23</v>
      </c>
      <c r="H519" s="3">
        <v>74180</v>
      </c>
      <c r="I519" s="3">
        <v>34893</v>
      </c>
      <c r="J519" s="3">
        <v>24636</v>
      </c>
      <c r="K519" s="3">
        <v>939</v>
      </c>
      <c r="L519" s="3">
        <v>145</v>
      </c>
      <c r="M519" s="3">
        <v>91</v>
      </c>
      <c r="N519" s="3">
        <v>201</v>
      </c>
      <c r="O519" s="3">
        <v>143</v>
      </c>
      <c r="P519" s="3"/>
      <c r="Q519" s="3">
        <v>1376</v>
      </c>
      <c r="R519" s="4">
        <v>5.59</v>
      </c>
      <c r="S519" s="6">
        <f>GlowNestSocialTable[[#This Row],[Link Clicks]]/GlowNestSocialTable[[#This Row],[Reach]]</f>
        <v>5.8045137197597014E-3</v>
      </c>
    </row>
    <row r="520" spans="1:19">
      <c r="A520" t="s">
        <v>559</v>
      </c>
      <c r="B520" s="2">
        <v>45972</v>
      </c>
      <c r="C520" t="s">
        <v>33</v>
      </c>
      <c r="D520" t="s">
        <v>37</v>
      </c>
      <c r="E520" t="s">
        <v>25</v>
      </c>
      <c r="F520" t="s">
        <v>44</v>
      </c>
      <c r="G520" t="s">
        <v>23</v>
      </c>
      <c r="H520" s="3">
        <v>36278</v>
      </c>
      <c r="I520" s="3">
        <v>12849</v>
      </c>
      <c r="J520" s="3">
        <v>9638</v>
      </c>
      <c r="K520" s="3">
        <v>244</v>
      </c>
      <c r="L520" s="3">
        <v>29</v>
      </c>
      <c r="M520" s="3">
        <v>31</v>
      </c>
      <c r="N520" s="3">
        <v>27</v>
      </c>
      <c r="O520" s="3">
        <v>103</v>
      </c>
      <c r="P520" s="3"/>
      <c r="Q520" s="3">
        <v>331</v>
      </c>
      <c r="R520" s="4">
        <v>3.43</v>
      </c>
      <c r="S520" s="6">
        <f>GlowNestSocialTable[[#This Row],[Link Clicks]]/GlowNestSocialTable[[#This Row],[Reach]]</f>
        <v>1.0686864494708445E-2</v>
      </c>
    </row>
    <row r="521" spans="1:19">
      <c r="A521" t="s">
        <v>560</v>
      </c>
      <c r="B521" s="2">
        <v>45973</v>
      </c>
      <c r="C521" t="s">
        <v>36</v>
      </c>
      <c r="D521" t="s">
        <v>20</v>
      </c>
      <c r="E521" t="s">
        <v>46</v>
      </c>
      <c r="F521" t="s">
        <v>22</v>
      </c>
      <c r="G521" t="s">
        <v>23</v>
      </c>
      <c r="H521" s="3">
        <v>92494</v>
      </c>
      <c r="I521" s="3">
        <v>71064</v>
      </c>
      <c r="J521" s="3">
        <v>49017</v>
      </c>
      <c r="K521" s="3">
        <v>773</v>
      </c>
      <c r="L521" s="3">
        <v>125</v>
      </c>
      <c r="M521" s="3">
        <v>94</v>
      </c>
      <c r="N521" s="3">
        <v>289</v>
      </c>
      <c r="O521" s="3">
        <v>214</v>
      </c>
      <c r="P521" s="3">
        <v>33016</v>
      </c>
      <c r="Q521" s="3">
        <v>1281</v>
      </c>
      <c r="R521" s="4">
        <v>2.61</v>
      </c>
      <c r="S521" s="6">
        <f>GlowNestSocialTable[[#This Row],[Link Clicks]]/GlowNestSocialTable[[#This Row],[Reach]]</f>
        <v>4.3658322622763535E-3</v>
      </c>
    </row>
    <row r="522" spans="1:19">
      <c r="A522" t="s">
        <v>561</v>
      </c>
      <c r="B522" s="2">
        <v>45973</v>
      </c>
      <c r="C522" t="s">
        <v>36</v>
      </c>
      <c r="D522" t="s">
        <v>37</v>
      </c>
      <c r="E522" t="s">
        <v>25</v>
      </c>
      <c r="F522" t="s">
        <v>31</v>
      </c>
      <c r="G522" t="s">
        <v>23</v>
      </c>
      <c r="H522" s="3">
        <v>91492</v>
      </c>
      <c r="I522" s="3">
        <v>63399</v>
      </c>
      <c r="J522" s="3">
        <v>53711</v>
      </c>
      <c r="K522" s="3">
        <v>759</v>
      </c>
      <c r="L522" s="3">
        <v>105</v>
      </c>
      <c r="M522" s="3">
        <v>118</v>
      </c>
      <c r="N522" s="3">
        <v>57</v>
      </c>
      <c r="O522" s="3">
        <v>224</v>
      </c>
      <c r="P522" s="3"/>
      <c r="Q522" s="3">
        <v>1039</v>
      </c>
      <c r="R522" s="4">
        <v>1.93</v>
      </c>
      <c r="S522" s="6">
        <f>GlowNestSocialTable[[#This Row],[Link Clicks]]/GlowNestSocialTable[[#This Row],[Reach]]</f>
        <v>4.1704678743646551E-3</v>
      </c>
    </row>
    <row r="523" spans="1:19">
      <c r="A523" t="s">
        <v>562</v>
      </c>
      <c r="B523" s="2">
        <v>45974</v>
      </c>
      <c r="C523" t="s">
        <v>19</v>
      </c>
      <c r="D523" t="s">
        <v>34</v>
      </c>
      <c r="E523" t="s">
        <v>27</v>
      </c>
      <c r="F523" t="s">
        <v>42</v>
      </c>
      <c r="G523" t="s">
        <v>38</v>
      </c>
      <c r="H523" s="3">
        <v>77447</v>
      </c>
      <c r="I523" s="3">
        <v>54009</v>
      </c>
      <c r="J523" s="3">
        <v>40143</v>
      </c>
      <c r="K523" s="3">
        <v>1323</v>
      </c>
      <c r="L523" s="3">
        <v>173</v>
      </c>
      <c r="M523" s="3">
        <v>117</v>
      </c>
      <c r="N523" s="3">
        <v>168</v>
      </c>
      <c r="O523" s="3">
        <v>716</v>
      </c>
      <c r="P523" s="3"/>
      <c r="Q523" s="3">
        <v>1781</v>
      </c>
      <c r="R523" s="4">
        <v>4.4400000000000004</v>
      </c>
      <c r="S523" s="6">
        <f>GlowNestSocialTable[[#This Row],[Link Clicks]]/GlowNestSocialTable[[#This Row],[Reach]]</f>
        <v>1.7836235458236805E-2</v>
      </c>
    </row>
    <row r="524" spans="1:19">
      <c r="A524" t="s">
        <v>563</v>
      </c>
      <c r="B524" s="2">
        <v>45975</v>
      </c>
      <c r="C524" t="s">
        <v>19</v>
      </c>
      <c r="D524" t="s">
        <v>30</v>
      </c>
      <c r="E524" t="s">
        <v>25</v>
      </c>
      <c r="F524" t="s">
        <v>28</v>
      </c>
      <c r="G524" t="s">
        <v>23</v>
      </c>
      <c r="H524" s="3">
        <v>75930</v>
      </c>
      <c r="I524" s="3">
        <v>25559</v>
      </c>
      <c r="J524" s="3">
        <v>22631</v>
      </c>
      <c r="K524" s="3">
        <v>584</v>
      </c>
      <c r="L524" s="3">
        <v>94</v>
      </c>
      <c r="M524" s="3">
        <v>80</v>
      </c>
      <c r="N524" s="3">
        <v>6</v>
      </c>
      <c r="O524" s="3">
        <v>182</v>
      </c>
      <c r="P524" s="3"/>
      <c r="Q524" s="3">
        <v>764</v>
      </c>
      <c r="R524" s="4">
        <v>3.38</v>
      </c>
      <c r="S524" s="6">
        <f>GlowNestSocialTable[[#This Row],[Link Clicks]]/GlowNestSocialTable[[#This Row],[Reach]]</f>
        <v>8.0420661923909682E-3</v>
      </c>
    </row>
    <row r="525" spans="1:19">
      <c r="A525" t="s">
        <v>564</v>
      </c>
      <c r="B525" s="2">
        <v>45975</v>
      </c>
      <c r="C525" t="s">
        <v>19</v>
      </c>
      <c r="D525" t="s">
        <v>20</v>
      </c>
      <c r="E525" t="s">
        <v>27</v>
      </c>
      <c r="F525" t="s">
        <v>42</v>
      </c>
      <c r="G525" t="s">
        <v>23</v>
      </c>
      <c r="H525" s="3">
        <v>73128</v>
      </c>
      <c r="I525" s="3">
        <v>40541</v>
      </c>
      <c r="J525" s="3">
        <v>32687</v>
      </c>
      <c r="K525" s="3">
        <v>2220</v>
      </c>
      <c r="L525" s="3">
        <v>391</v>
      </c>
      <c r="M525" s="3">
        <v>265</v>
      </c>
      <c r="N525" s="3">
        <v>1170</v>
      </c>
      <c r="O525" s="3">
        <v>434</v>
      </c>
      <c r="P525" s="3">
        <v>21924</v>
      </c>
      <c r="Q525" s="3">
        <v>4046</v>
      </c>
      <c r="R525" s="4">
        <v>12.38</v>
      </c>
      <c r="S525" s="6">
        <f>GlowNestSocialTable[[#This Row],[Link Clicks]]/GlowNestSocialTable[[#This Row],[Reach]]</f>
        <v>1.3277449750665402E-2</v>
      </c>
    </row>
    <row r="526" spans="1:19">
      <c r="A526" t="s">
        <v>565</v>
      </c>
      <c r="B526" s="2">
        <v>45976</v>
      </c>
      <c r="C526" t="s">
        <v>33</v>
      </c>
      <c r="D526" t="s">
        <v>34</v>
      </c>
      <c r="E526" t="s">
        <v>27</v>
      </c>
      <c r="F526" t="s">
        <v>31</v>
      </c>
      <c r="G526" t="s">
        <v>38</v>
      </c>
      <c r="H526" s="3">
        <v>37379</v>
      </c>
      <c r="I526" s="3">
        <v>18192</v>
      </c>
      <c r="J526" s="3">
        <v>16182</v>
      </c>
      <c r="K526" s="3">
        <v>370</v>
      </c>
      <c r="L526" s="3">
        <v>55</v>
      </c>
      <c r="M526" s="3">
        <v>47</v>
      </c>
      <c r="N526" s="3">
        <v>30</v>
      </c>
      <c r="O526" s="3">
        <v>324</v>
      </c>
      <c r="P526" s="3"/>
      <c r="Q526" s="3">
        <v>502</v>
      </c>
      <c r="R526" s="4">
        <v>3.1</v>
      </c>
      <c r="S526" s="6">
        <f>GlowNestSocialTable[[#This Row],[Link Clicks]]/GlowNestSocialTable[[#This Row],[Reach]]</f>
        <v>2.0022246941045607E-2</v>
      </c>
    </row>
    <row r="527" spans="1:19">
      <c r="A527" t="s">
        <v>566</v>
      </c>
      <c r="B527" s="2">
        <v>45977</v>
      </c>
      <c r="C527" t="s">
        <v>36</v>
      </c>
      <c r="D527" t="s">
        <v>30</v>
      </c>
      <c r="E527" t="s">
        <v>27</v>
      </c>
      <c r="F527" t="s">
        <v>44</v>
      </c>
      <c r="G527" t="s">
        <v>23</v>
      </c>
      <c r="H527" s="3">
        <v>91923</v>
      </c>
      <c r="I527" s="3">
        <v>57455</v>
      </c>
      <c r="J527" s="3">
        <v>48168</v>
      </c>
      <c r="K527" s="3">
        <v>906</v>
      </c>
      <c r="L527" s="3">
        <v>173</v>
      </c>
      <c r="M527" s="3">
        <v>151</v>
      </c>
      <c r="N527" s="3">
        <v>118</v>
      </c>
      <c r="O527" s="3">
        <v>197</v>
      </c>
      <c r="P527" s="3"/>
      <c r="Q527" s="3">
        <v>1348</v>
      </c>
      <c r="R527" s="4">
        <v>2.8</v>
      </c>
      <c r="S527" s="6">
        <f>GlowNestSocialTable[[#This Row],[Link Clicks]]/GlowNestSocialTable[[#This Row],[Reach]]</f>
        <v>4.0898521840225877E-3</v>
      </c>
    </row>
    <row r="528" spans="1:19">
      <c r="A528" t="s">
        <v>567</v>
      </c>
      <c r="B528" s="2">
        <v>45977</v>
      </c>
      <c r="C528" t="s">
        <v>19</v>
      </c>
      <c r="D528" t="s">
        <v>30</v>
      </c>
      <c r="E528" t="s">
        <v>27</v>
      </c>
      <c r="F528" t="s">
        <v>31</v>
      </c>
      <c r="G528" t="s">
        <v>38</v>
      </c>
      <c r="H528" s="3">
        <v>75304</v>
      </c>
      <c r="I528" s="3">
        <v>46045</v>
      </c>
      <c r="J528" s="3">
        <v>40826</v>
      </c>
      <c r="K528" s="3">
        <v>1870</v>
      </c>
      <c r="L528" s="3">
        <v>239</v>
      </c>
      <c r="M528" s="3">
        <v>184</v>
      </c>
      <c r="N528" s="3">
        <v>215</v>
      </c>
      <c r="O528" s="3">
        <v>539</v>
      </c>
      <c r="P528" s="3"/>
      <c r="Q528" s="3">
        <v>2508</v>
      </c>
      <c r="R528" s="4">
        <v>6.14</v>
      </c>
      <c r="S528" s="6">
        <f>GlowNestSocialTable[[#This Row],[Link Clicks]]/GlowNestSocialTable[[#This Row],[Reach]]</f>
        <v>1.3202371038063978E-2</v>
      </c>
    </row>
    <row r="529" spans="1:19">
      <c r="A529" t="s">
        <v>568</v>
      </c>
      <c r="B529" s="2">
        <v>45978</v>
      </c>
      <c r="C529" t="s">
        <v>19</v>
      </c>
      <c r="D529" t="s">
        <v>34</v>
      </c>
      <c r="E529" t="s">
        <v>25</v>
      </c>
      <c r="F529" t="s">
        <v>31</v>
      </c>
      <c r="G529" t="s">
        <v>38</v>
      </c>
      <c r="H529" s="3">
        <v>76058</v>
      </c>
      <c r="I529" s="3">
        <v>48433</v>
      </c>
      <c r="J529" s="3">
        <v>32793</v>
      </c>
      <c r="K529" s="3">
        <v>519</v>
      </c>
      <c r="L529" s="3">
        <v>87</v>
      </c>
      <c r="M529" s="3">
        <v>43</v>
      </c>
      <c r="N529" s="3">
        <v>28</v>
      </c>
      <c r="O529" s="3">
        <v>324</v>
      </c>
      <c r="P529" s="3"/>
      <c r="Q529" s="3">
        <v>677</v>
      </c>
      <c r="R529" s="4">
        <v>2.06</v>
      </c>
      <c r="S529" s="6">
        <f>GlowNestSocialTable[[#This Row],[Link Clicks]]/GlowNestSocialTable[[#This Row],[Reach]]</f>
        <v>9.8801573506541035E-3</v>
      </c>
    </row>
    <row r="530" spans="1:19">
      <c r="A530" t="s">
        <v>569</v>
      </c>
      <c r="B530" s="2">
        <v>45978</v>
      </c>
      <c r="C530" t="s">
        <v>33</v>
      </c>
      <c r="D530" t="s">
        <v>37</v>
      </c>
      <c r="E530" t="s">
        <v>46</v>
      </c>
      <c r="F530" t="s">
        <v>42</v>
      </c>
      <c r="G530" t="s">
        <v>23</v>
      </c>
      <c r="H530" s="3">
        <v>38501</v>
      </c>
      <c r="I530" s="3">
        <v>14511</v>
      </c>
      <c r="J530" s="3">
        <v>10626</v>
      </c>
      <c r="K530" s="3">
        <v>370</v>
      </c>
      <c r="L530" s="3">
        <v>42</v>
      </c>
      <c r="M530" s="3">
        <v>47</v>
      </c>
      <c r="N530" s="3">
        <v>41</v>
      </c>
      <c r="O530" s="3">
        <v>186</v>
      </c>
      <c r="P530" s="3"/>
      <c r="Q530" s="3">
        <v>500</v>
      </c>
      <c r="R530" s="4">
        <v>4.71</v>
      </c>
      <c r="S530" s="6">
        <f>GlowNestSocialTable[[#This Row],[Link Clicks]]/GlowNestSocialTable[[#This Row],[Reach]]</f>
        <v>1.7504234895539244E-2</v>
      </c>
    </row>
    <row r="531" spans="1:19">
      <c r="A531" t="s">
        <v>570</v>
      </c>
      <c r="B531" s="2">
        <v>45979</v>
      </c>
      <c r="C531" t="s">
        <v>33</v>
      </c>
      <c r="D531" t="s">
        <v>37</v>
      </c>
      <c r="E531" t="s">
        <v>21</v>
      </c>
      <c r="F531" t="s">
        <v>22</v>
      </c>
      <c r="G531" t="s">
        <v>23</v>
      </c>
      <c r="H531" s="3">
        <v>34111</v>
      </c>
      <c r="I531" s="3">
        <v>13596</v>
      </c>
      <c r="J531" s="3">
        <v>9464</v>
      </c>
      <c r="K531" s="3">
        <v>353</v>
      </c>
      <c r="L531" s="3">
        <v>38</v>
      </c>
      <c r="M531" s="3">
        <v>34</v>
      </c>
      <c r="N531" s="3">
        <v>90</v>
      </c>
      <c r="O531" s="3">
        <v>130</v>
      </c>
      <c r="P531" s="3"/>
      <c r="Q531" s="3">
        <v>515</v>
      </c>
      <c r="R531" s="4">
        <v>5.44</v>
      </c>
      <c r="S531" s="6">
        <f>GlowNestSocialTable[[#This Row],[Link Clicks]]/GlowNestSocialTable[[#This Row],[Reach]]</f>
        <v>1.3736263736263736E-2</v>
      </c>
    </row>
    <row r="532" spans="1:19">
      <c r="A532" t="s">
        <v>571</v>
      </c>
      <c r="B532" s="2">
        <v>45980</v>
      </c>
      <c r="C532" t="s">
        <v>19</v>
      </c>
      <c r="D532" t="s">
        <v>37</v>
      </c>
      <c r="E532" t="s">
        <v>27</v>
      </c>
      <c r="F532" t="s">
        <v>28</v>
      </c>
      <c r="G532" t="s">
        <v>38</v>
      </c>
      <c r="H532" s="3">
        <v>74773</v>
      </c>
      <c r="I532" s="3">
        <v>48902</v>
      </c>
      <c r="J532" s="3">
        <v>38906</v>
      </c>
      <c r="K532" s="3">
        <v>2316</v>
      </c>
      <c r="L532" s="3">
        <v>398</v>
      </c>
      <c r="M532" s="3">
        <v>246</v>
      </c>
      <c r="N532" s="3">
        <v>186</v>
      </c>
      <c r="O532" s="3">
        <v>538</v>
      </c>
      <c r="P532" s="3"/>
      <c r="Q532" s="3">
        <v>3146</v>
      </c>
      <c r="R532" s="4">
        <v>8.09</v>
      </c>
      <c r="S532" s="6">
        <f>GlowNestSocialTable[[#This Row],[Link Clicks]]/GlowNestSocialTable[[#This Row],[Reach]]</f>
        <v>1.3828201305711201E-2</v>
      </c>
    </row>
    <row r="533" spans="1:19">
      <c r="A533" t="s">
        <v>572</v>
      </c>
      <c r="B533" s="2">
        <v>45980</v>
      </c>
      <c r="C533" t="s">
        <v>36</v>
      </c>
      <c r="D533" t="s">
        <v>37</v>
      </c>
      <c r="E533" t="s">
        <v>46</v>
      </c>
      <c r="F533" t="s">
        <v>42</v>
      </c>
      <c r="G533" t="s">
        <v>38</v>
      </c>
      <c r="H533" s="3">
        <v>89819</v>
      </c>
      <c r="I533" s="3">
        <v>61412</v>
      </c>
      <c r="J533" s="3">
        <v>56515</v>
      </c>
      <c r="K533" s="3">
        <v>813</v>
      </c>
      <c r="L533" s="3">
        <v>117</v>
      </c>
      <c r="M533" s="3">
        <v>116</v>
      </c>
      <c r="N533" s="3">
        <v>198</v>
      </c>
      <c r="O533" s="3">
        <v>292</v>
      </c>
      <c r="P533" s="3"/>
      <c r="Q533" s="3">
        <v>1244</v>
      </c>
      <c r="R533" s="4">
        <v>2.2000000000000002</v>
      </c>
      <c r="S533" s="6">
        <f>GlowNestSocialTable[[#This Row],[Link Clicks]]/GlowNestSocialTable[[#This Row],[Reach]]</f>
        <v>5.1667698841015661E-3</v>
      </c>
    </row>
    <row r="534" spans="1:19">
      <c r="A534" t="s">
        <v>573</v>
      </c>
      <c r="B534" s="2">
        <v>45981</v>
      </c>
      <c r="C534" t="s">
        <v>33</v>
      </c>
      <c r="D534" t="s">
        <v>34</v>
      </c>
      <c r="E534" t="s">
        <v>21</v>
      </c>
      <c r="F534" t="s">
        <v>44</v>
      </c>
      <c r="G534" t="s">
        <v>38</v>
      </c>
      <c r="H534" s="3">
        <v>33132</v>
      </c>
      <c r="I534" s="3">
        <v>14634</v>
      </c>
      <c r="J534" s="3">
        <v>11523</v>
      </c>
      <c r="K534" s="3">
        <v>267</v>
      </c>
      <c r="L534" s="3">
        <v>49</v>
      </c>
      <c r="M534" s="3">
        <v>43</v>
      </c>
      <c r="N534" s="3">
        <v>38</v>
      </c>
      <c r="O534" s="3">
        <v>133</v>
      </c>
      <c r="P534" s="3"/>
      <c r="Q534" s="3">
        <v>397</v>
      </c>
      <c r="R534" s="4">
        <v>3.45</v>
      </c>
      <c r="S534" s="6">
        <f>GlowNestSocialTable[[#This Row],[Link Clicks]]/GlowNestSocialTable[[#This Row],[Reach]]</f>
        <v>1.1542133125054239E-2</v>
      </c>
    </row>
    <row r="535" spans="1:19">
      <c r="A535" t="s">
        <v>574</v>
      </c>
      <c r="B535" s="2">
        <v>45981</v>
      </c>
      <c r="C535" t="s">
        <v>19</v>
      </c>
      <c r="D535" t="s">
        <v>37</v>
      </c>
      <c r="E535" t="s">
        <v>25</v>
      </c>
      <c r="F535" t="s">
        <v>28</v>
      </c>
      <c r="G535" t="s">
        <v>23</v>
      </c>
      <c r="H535" s="3">
        <v>74760</v>
      </c>
      <c r="I535" s="3">
        <v>28247</v>
      </c>
      <c r="J535" s="3">
        <v>24865</v>
      </c>
      <c r="K535" s="3">
        <v>590</v>
      </c>
      <c r="L535" s="3">
        <v>84</v>
      </c>
      <c r="M535" s="3">
        <v>64</v>
      </c>
      <c r="N535" s="3">
        <v>37</v>
      </c>
      <c r="O535" s="3">
        <v>268</v>
      </c>
      <c r="P535" s="3"/>
      <c r="Q535" s="3">
        <v>775</v>
      </c>
      <c r="R535" s="4">
        <v>3.12</v>
      </c>
      <c r="S535" s="6">
        <f>GlowNestSocialTable[[#This Row],[Link Clicks]]/GlowNestSocialTable[[#This Row],[Reach]]</f>
        <v>1.0778202292378846E-2</v>
      </c>
    </row>
    <row r="536" spans="1:19">
      <c r="A536" t="s">
        <v>575</v>
      </c>
      <c r="B536" s="2">
        <v>45982</v>
      </c>
      <c r="C536" t="s">
        <v>36</v>
      </c>
      <c r="D536" t="s">
        <v>30</v>
      </c>
      <c r="E536" t="s">
        <v>25</v>
      </c>
      <c r="F536" t="s">
        <v>44</v>
      </c>
      <c r="G536" t="s">
        <v>23</v>
      </c>
      <c r="H536" s="3">
        <v>91939</v>
      </c>
      <c r="I536" s="3">
        <v>56387</v>
      </c>
      <c r="J536" s="3">
        <v>38093</v>
      </c>
      <c r="K536" s="3">
        <v>269</v>
      </c>
      <c r="L536" s="3">
        <v>36</v>
      </c>
      <c r="M536" s="3">
        <v>43</v>
      </c>
      <c r="N536" s="3">
        <v>33</v>
      </c>
      <c r="O536" s="3">
        <v>112</v>
      </c>
      <c r="P536" s="3"/>
      <c r="Q536" s="3">
        <v>381</v>
      </c>
      <c r="R536" s="4">
        <v>1</v>
      </c>
      <c r="S536" s="6">
        <f>GlowNestSocialTable[[#This Row],[Link Clicks]]/GlowNestSocialTable[[#This Row],[Reach]]</f>
        <v>2.9401727351481902E-3</v>
      </c>
    </row>
    <row r="537" spans="1:19">
      <c r="A537" t="s">
        <v>576</v>
      </c>
      <c r="B537" s="2">
        <v>45983</v>
      </c>
      <c r="C537" t="s">
        <v>19</v>
      </c>
      <c r="D537" t="s">
        <v>20</v>
      </c>
      <c r="E537" t="s">
        <v>25</v>
      </c>
      <c r="F537" t="s">
        <v>44</v>
      </c>
      <c r="G537" t="s">
        <v>38</v>
      </c>
      <c r="H537" s="3">
        <v>75073</v>
      </c>
      <c r="I537" s="3">
        <v>55235</v>
      </c>
      <c r="J537" s="3">
        <v>48486</v>
      </c>
      <c r="K537" s="3">
        <v>1788</v>
      </c>
      <c r="L537" s="3">
        <v>184</v>
      </c>
      <c r="M537" s="3">
        <v>199</v>
      </c>
      <c r="N537" s="3">
        <v>245</v>
      </c>
      <c r="O537" s="3">
        <v>530</v>
      </c>
      <c r="P537" s="3">
        <v>41627</v>
      </c>
      <c r="Q537" s="3">
        <v>2416</v>
      </c>
      <c r="R537" s="4">
        <v>4.9800000000000004</v>
      </c>
      <c r="S537" s="6">
        <f>GlowNestSocialTable[[#This Row],[Link Clicks]]/GlowNestSocialTable[[#This Row],[Reach]]</f>
        <v>1.0930990388978263E-2</v>
      </c>
    </row>
    <row r="538" spans="1:19">
      <c r="A538" t="s">
        <v>577</v>
      </c>
      <c r="B538" s="2">
        <v>45983</v>
      </c>
      <c r="C538" t="s">
        <v>33</v>
      </c>
      <c r="D538" t="s">
        <v>34</v>
      </c>
      <c r="E538" t="s">
        <v>49</v>
      </c>
      <c r="F538" t="s">
        <v>28</v>
      </c>
      <c r="G538" t="s">
        <v>23</v>
      </c>
      <c r="H538" s="3">
        <v>36802</v>
      </c>
      <c r="I538" s="3">
        <v>7778</v>
      </c>
      <c r="J538" s="3">
        <v>5792</v>
      </c>
      <c r="K538" s="3">
        <v>124</v>
      </c>
      <c r="L538" s="3">
        <v>13</v>
      </c>
      <c r="M538" s="3">
        <v>20</v>
      </c>
      <c r="N538" s="3">
        <v>13</v>
      </c>
      <c r="O538" s="3">
        <v>68</v>
      </c>
      <c r="P538" s="3"/>
      <c r="Q538" s="3">
        <v>170</v>
      </c>
      <c r="R538" s="4">
        <v>2.94</v>
      </c>
      <c r="S538" s="6">
        <f>GlowNestSocialTable[[#This Row],[Link Clicks]]/GlowNestSocialTable[[#This Row],[Reach]]</f>
        <v>1.1740331491712707E-2</v>
      </c>
    </row>
    <row r="539" spans="1:19">
      <c r="A539" t="s">
        <v>578</v>
      </c>
      <c r="B539" s="2">
        <v>45984</v>
      </c>
      <c r="C539" t="s">
        <v>19</v>
      </c>
      <c r="D539" t="s">
        <v>37</v>
      </c>
      <c r="E539" t="s">
        <v>27</v>
      </c>
      <c r="F539" t="s">
        <v>22</v>
      </c>
      <c r="G539" t="s">
        <v>38</v>
      </c>
      <c r="H539" s="3">
        <v>74645</v>
      </c>
      <c r="I539" s="3">
        <v>66986</v>
      </c>
      <c r="J539" s="3">
        <v>43218</v>
      </c>
      <c r="K539" s="3">
        <v>2217</v>
      </c>
      <c r="L539" s="3">
        <v>351</v>
      </c>
      <c r="M539" s="3">
        <v>332</v>
      </c>
      <c r="N539" s="3">
        <v>149</v>
      </c>
      <c r="O539" s="3">
        <v>596</v>
      </c>
      <c r="P539" s="3"/>
      <c r="Q539" s="3">
        <v>3049</v>
      </c>
      <c r="R539" s="4">
        <v>7.05</v>
      </c>
      <c r="S539" s="6">
        <f>GlowNestSocialTable[[#This Row],[Link Clicks]]/GlowNestSocialTable[[#This Row],[Reach]]</f>
        <v>1.3790550233698922E-2</v>
      </c>
    </row>
    <row r="540" spans="1:19">
      <c r="A540" t="s">
        <v>579</v>
      </c>
      <c r="B540" s="2">
        <v>45984</v>
      </c>
      <c r="C540" t="s">
        <v>33</v>
      </c>
      <c r="D540" t="s">
        <v>37</v>
      </c>
      <c r="E540" t="s">
        <v>27</v>
      </c>
      <c r="F540" t="s">
        <v>22</v>
      </c>
      <c r="G540" t="s">
        <v>23</v>
      </c>
      <c r="H540" s="3">
        <v>34608</v>
      </c>
      <c r="I540" s="3">
        <v>10999</v>
      </c>
      <c r="J540" s="3">
        <v>9014</v>
      </c>
      <c r="K540" s="3">
        <v>293</v>
      </c>
      <c r="L540" s="3">
        <v>34</v>
      </c>
      <c r="M540" s="3">
        <v>49</v>
      </c>
      <c r="N540" s="3">
        <v>70</v>
      </c>
      <c r="O540" s="3">
        <v>154</v>
      </c>
      <c r="P540" s="3"/>
      <c r="Q540" s="3">
        <v>446</v>
      </c>
      <c r="R540" s="4">
        <v>4.95</v>
      </c>
      <c r="S540" s="6">
        <f>GlowNestSocialTable[[#This Row],[Link Clicks]]/GlowNestSocialTable[[#This Row],[Reach]]</f>
        <v>1.7084535167517196E-2</v>
      </c>
    </row>
    <row r="541" spans="1:19">
      <c r="A541" t="s">
        <v>580</v>
      </c>
      <c r="B541" s="2">
        <v>45985</v>
      </c>
      <c r="C541" t="s">
        <v>19</v>
      </c>
      <c r="D541" t="s">
        <v>30</v>
      </c>
      <c r="E541" t="s">
        <v>25</v>
      </c>
      <c r="F541" t="s">
        <v>42</v>
      </c>
      <c r="G541" t="s">
        <v>38</v>
      </c>
      <c r="H541" s="3">
        <v>75444</v>
      </c>
      <c r="I541" s="3">
        <v>55312</v>
      </c>
      <c r="J541" s="3">
        <v>43851</v>
      </c>
      <c r="K541" s="3">
        <v>744</v>
      </c>
      <c r="L541" s="3">
        <v>90</v>
      </c>
      <c r="M541" s="3">
        <v>82</v>
      </c>
      <c r="N541" s="3">
        <v>51</v>
      </c>
      <c r="O541" s="3">
        <v>263</v>
      </c>
      <c r="P541" s="3"/>
      <c r="Q541" s="3">
        <v>967</v>
      </c>
      <c r="R541" s="4">
        <v>2.21</v>
      </c>
      <c r="S541" s="6">
        <f>GlowNestSocialTable[[#This Row],[Link Clicks]]/GlowNestSocialTable[[#This Row],[Reach]]</f>
        <v>5.9975827233130375E-3</v>
      </c>
    </row>
    <row r="542" spans="1:19">
      <c r="A542" t="s">
        <v>581</v>
      </c>
      <c r="B542" s="2">
        <v>45986</v>
      </c>
      <c r="C542" t="s">
        <v>33</v>
      </c>
      <c r="D542" t="s">
        <v>30</v>
      </c>
      <c r="E542" t="s">
        <v>46</v>
      </c>
      <c r="F542" t="s">
        <v>44</v>
      </c>
      <c r="G542" t="s">
        <v>23</v>
      </c>
      <c r="H542" s="3">
        <v>35578</v>
      </c>
      <c r="I542" s="3">
        <v>7985</v>
      </c>
      <c r="J542" s="3">
        <v>6688</v>
      </c>
      <c r="K542" s="3">
        <v>158</v>
      </c>
      <c r="L542" s="3">
        <v>27</v>
      </c>
      <c r="M542" s="3">
        <v>18</v>
      </c>
      <c r="N542" s="3">
        <v>17</v>
      </c>
      <c r="O542" s="3">
        <v>75</v>
      </c>
      <c r="P542" s="3"/>
      <c r="Q542" s="3">
        <v>220</v>
      </c>
      <c r="R542" s="4">
        <v>3.29</v>
      </c>
      <c r="S542" s="6">
        <f>GlowNestSocialTable[[#This Row],[Link Clicks]]/GlowNestSocialTable[[#This Row],[Reach]]</f>
        <v>1.1214114832535885E-2</v>
      </c>
    </row>
    <row r="543" spans="1:19">
      <c r="A543" t="s">
        <v>582</v>
      </c>
      <c r="B543" s="2">
        <v>45986</v>
      </c>
      <c r="C543" t="s">
        <v>19</v>
      </c>
      <c r="D543" t="s">
        <v>20</v>
      </c>
      <c r="E543" t="s">
        <v>25</v>
      </c>
      <c r="F543" t="s">
        <v>22</v>
      </c>
      <c r="G543" t="s">
        <v>23</v>
      </c>
      <c r="H543" s="3">
        <v>74762</v>
      </c>
      <c r="I543" s="3">
        <v>53488</v>
      </c>
      <c r="J543" s="3">
        <v>37368</v>
      </c>
      <c r="K543" s="3">
        <v>1040</v>
      </c>
      <c r="L543" s="3">
        <v>113</v>
      </c>
      <c r="M543" s="3">
        <v>181</v>
      </c>
      <c r="N543" s="3">
        <v>247</v>
      </c>
      <c r="O543" s="3">
        <v>346</v>
      </c>
      <c r="P543" s="3">
        <v>26217</v>
      </c>
      <c r="Q543" s="3">
        <v>1581</v>
      </c>
      <c r="R543" s="4">
        <v>4.2300000000000004</v>
      </c>
      <c r="S543" s="6">
        <f>GlowNestSocialTable[[#This Row],[Link Clicks]]/GlowNestSocialTable[[#This Row],[Reach]]</f>
        <v>9.2592592592592587E-3</v>
      </c>
    </row>
    <row r="544" spans="1:19">
      <c r="A544" t="s">
        <v>583</v>
      </c>
      <c r="B544" s="2">
        <v>45987</v>
      </c>
      <c r="C544" t="s">
        <v>33</v>
      </c>
      <c r="D544" t="s">
        <v>30</v>
      </c>
      <c r="E544" t="s">
        <v>49</v>
      </c>
      <c r="F544" t="s">
        <v>44</v>
      </c>
      <c r="G544" t="s">
        <v>23</v>
      </c>
      <c r="H544" s="3">
        <v>36446</v>
      </c>
      <c r="I544" s="3">
        <v>7636</v>
      </c>
      <c r="J544" s="3">
        <v>6808</v>
      </c>
      <c r="K544" s="3">
        <v>149</v>
      </c>
      <c r="L544" s="3">
        <v>27</v>
      </c>
      <c r="M544" s="3">
        <v>27</v>
      </c>
      <c r="N544" s="3">
        <v>18</v>
      </c>
      <c r="O544" s="3">
        <v>73</v>
      </c>
      <c r="P544" s="3"/>
      <c r="Q544" s="3">
        <v>221</v>
      </c>
      <c r="R544" s="4">
        <v>3.25</v>
      </c>
      <c r="S544" s="6">
        <f>GlowNestSocialTable[[#This Row],[Link Clicks]]/GlowNestSocialTable[[#This Row],[Reach]]</f>
        <v>1.0722679200940071E-2</v>
      </c>
    </row>
    <row r="545" spans="1:19">
      <c r="A545" t="s">
        <v>584</v>
      </c>
      <c r="B545" s="2">
        <v>45987</v>
      </c>
      <c r="C545" t="s">
        <v>33</v>
      </c>
      <c r="D545" t="s">
        <v>30</v>
      </c>
      <c r="E545" t="s">
        <v>46</v>
      </c>
      <c r="F545" t="s">
        <v>44</v>
      </c>
      <c r="G545" t="s">
        <v>23</v>
      </c>
      <c r="H545" s="3">
        <v>34724</v>
      </c>
      <c r="I545" s="3">
        <v>11077</v>
      </c>
      <c r="J545" s="3">
        <v>7738</v>
      </c>
      <c r="K545" s="3">
        <v>144</v>
      </c>
      <c r="L545" s="3">
        <v>16</v>
      </c>
      <c r="M545" s="3">
        <v>21</v>
      </c>
      <c r="N545" s="3">
        <v>27</v>
      </c>
      <c r="O545" s="3">
        <v>83</v>
      </c>
      <c r="P545" s="3"/>
      <c r="Q545" s="3">
        <v>208</v>
      </c>
      <c r="R545" s="4">
        <v>2.69</v>
      </c>
      <c r="S545" s="6">
        <f>GlowNestSocialTable[[#This Row],[Link Clicks]]/GlowNestSocialTable[[#This Row],[Reach]]</f>
        <v>1.072628586197984E-2</v>
      </c>
    </row>
    <row r="546" spans="1:19">
      <c r="A546" t="s">
        <v>585</v>
      </c>
      <c r="B546" s="2">
        <v>45988</v>
      </c>
      <c r="C546" t="s">
        <v>33</v>
      </c>
      <c r="D546" t="s">
        <v>30</v>
      </c>
      <c r="E546" t="s">
        <v>49</v>
      </c>
      <c r="F546" t="s">
        <v>22</v>
      </c>
      <c r="G546" t="s">
        <v>23</v>
      </c>
      <c r="H546" s="3">
        <v>39367</v>
      </c>
      <c r="I546" s="3">
        <v>14673</v>
      </c>
      <c r="J546" s="3">
        <v>10336</v>
      </c>
      <c r="K546" s="3">
        <v>235</v>
      </c>
      <c r="L546" s="3">
        <v>38</v>
      </c>
      <c r="M546" s="3">
        <v>32</v>
      </c>
      <c r="N546" s="3">
        <v>12</v>
      </c>
      <c r="O546" s="3">
        <v>118</v>
      </c>
      <c r="P546" s="3"/>
      <c r="Q546" s="3">
        <v>317</v>
      </c>
      <c r="R546" s="4">
        <v>3.07</v>
      </c>
      <c r="S546" s="6">
        <f>GlowNestSocialTable[[#This Row],[Link Clicks]]/GlowNestSocialTable[[#This Row],[Reach]]</f>
        <v>1.141640866873065E-2</v>
      </c>
    </row>
    <row r="547" spans="1:19">
      <c r="A547" t="s">
        <v>586</v>
      </c>
      <c r="B547" s="2">
        <v>45989</v>
      </c>
      <c r="C547" t="s">
        <v>19</v>
      </c>
      <c r="D547" t="s">
        <v>30</v>
      </c>
      <c r="E547" t="s">
        <v>49</v>
      </c>
      <c r="F547" t="s">
        <v>42</v>
      </c>
      <c r="G547" t="s">
        <v>23</v>
      </c>
      <c r="H547" s="3">
        <v>73872</v>
      </c>
      <c r="I547" s="3">
        <v>24805</v>
      </c>
      <c r="J547" s="3">
        <v>17557</v>
      </c>
      <c r="K547" s="3">
        <v>722</v>
      </c>
      <c r="L547" s="3">
        <v>69</v>
      </c>
      <c r="M547" s="3">
        <v>63</v>
      </c>
      <c r="N547" s="3">
        <v>99</v>
      </c>
      <c r="O547" s="3">
        <v>142</v>
      </c>
      <c r="P547" s="3"/>
      <c r="Q547" s="3">
        <v>953</v>
      </c>
      <c r="R547" s="4">
        <v>5.43</v>
      </c>
      <c r="S547" s="6">
        <f>GlowNestSocialTable[[#This Row],[Link Clicks]]/GlowNestSocialTable[[#This Row],[Reach]]</f>
        <v>8.0879421313436242E-3</v>
      </c>
    </row>
    <row r="548" spans="1:19">
      <c r="A548" t="s">
        <v>587</v>
      </c>
      <c r="B548" s="2">
        <v>45989</v>
      </c>
      <c r="C548" t="s">
        <v>33</v>
      </c>
      <c r="D548" t="s">
        <v>34</v>
      </c>
      <c r="E548" t="s">
        <v>25</v>
      </c>
      <c r="F548" t="s">
        <v>22</v>
      </c>
      <c r="G548" t="s">
        <v>23</v>
      </c>
      <c r="H548" s="3">
        <v>36117</v>
      </c>
      <c r="I548" s="3">
        <v>8213</v>
      </c>
      <c r="J548" s="3">
        <v>7235</v>
      </c>
      <c r="K548" s="3">
        <v>120</v>
      </c>
      <c r="L548" s="3">
        <v>12</v>
      </c>
      <c r="M548" s="3">
        <v>12</v>
      </c>
      <c r="N548" s="3">
        <v>8</v>
      </c>
      <c r="O548" s="3">
        <v>85</v>
      </c>
      <c r="P548" s="3"/>
      <c r="Q548" s="3">
        <v>152</v>
      </c>
      <c r="R548" s="4">
        <v>2.1</v>
      </c>
      <c r="S548" s="6">
        <f>GlowNestSocialTable[[#This Row],[Link Clicks]]/GlowNestSocialTable[[#This Row],[Reach]]</f>
        <v>1.1748445058742226E-2</v>
      </c>
    </row>
    <row r="549" spans="1:19">
      <c r="A549" t="s">
        <v>588</v>
      </c>
      <c r="B549" s="2">
        <v>45990</v>
      </c>
      <c r="C549" t="s">
        <v>36</v>
      </c>
      <c r="D549" t="s">
        <v>30</v>
      </c>
      <c r="E549" t="s">
        <v>25</v>
      </c>
      <c r="F549" t="s">
        <v>22</v>
      </c>
      <c r="G549" t="s">
        <v>235</v>
      </c>
      <c r="H549" s="3">
        <v>89593</v>
      </c>
      <c r="I549" s="3">
        <v>50160</v>
      </c>
      <c r="J549" s="3">
        <v>43009</v>
      </c>
      <c r="K549" s="3">
        <v>436</v>
      </c>
      <c r="L549" s="3">
        <v>41</v>
      </c>
      <c r="M549" s="3">
        <v>62</v>
      </c>
      <c r="N549" s="3">
        <v>26</v>
      </c>
      <c r="O549" s="3">
        <v>162</v>
      </c>
      <c r="P549" s="3"/>
      <c r="Q549" s="3">
        <v>565</v>
      </c>
      <c r="R549" s="4">
        <v>1.31</v>
      </c>
      <c r="S549" s="6">
        <f>GlowNestSocialTable[[#This Row],[Link Clicks]]/GlowNestSocialTable[[#This Row],[Reach]]</f>
        <v>3.7666534911297636E-3</v>
      </c>
    </row>
    <row r="550" spans="1:19">
      <c r="A550" t="s">
        <v>589</v>
      </c>
      <c r="B550" s="2">
        <v>45991</v>
      </c>
      <c r="C550" t="s">
        <v>19</v>
      </c>
      <c r="D550" t="s">
        <v>20</v>
      </c>
      <c r="E550" t="s">
        <v>25</v>
      </c>
      <c r="F550" t="s">
        <v>22</v>
      </c>
      <c r="G550" t="s">
        <v>23</v>
      </c>
      <c r="H550" s="3">
        <v>74690</v>
      </c>
      <c r="I550" s="3">
        <v>54032</v>
      </c>
      <c r="J550" s="3">
        <v>37538</v>
      </c>
      <c r="K550" s="3">
        <v>1608</v>
      </c>
      <c r="L550" s="3">
        <v>154</v>
      </c>
      <c r="M550" s="3">
        <v>130</v>
      </c>
      <c r="N550" s="3">
        <v>217</v>
      </c>
      <c r="O550" s="3">
        <v>330</v>
      </c>
      <c r="P550" s="3">
        <v>22188</v>
      </c>
      <c r="Q550" s="3">
        <v>2109</v>
      </c>
      <c r="R550" s="4">
        <v>5.62</v>
      </c>
      <c r="S550" s="6">
        <f>GlowNestSocialTable[[#This Row],[Link Clicks]]/GlowNestSocialTable[[#This Row],[Reach]]</f>
        <v>8.7910916937503324E-3</v>
      </c>
    </row>
    <row r="551" spans="1:19">
      <c r="A551" t="s">
        <v>590</v>
      </c>
      <c r="B551" s="2">
        <v>45991</v>
      </c>
      <c r="C551" t="s">
        <v>19</v>
      </c>
      <c r="D551" t="s">
        <v>20</v>
      </c>
      <c r="E551" t="s">
        <v>46</v>
      </c>
      <c r="F551" t="s">
        <v>31</v>
      </c>
      <c r="G551" t="s">
        <v>23</v>
      </c>
      <c r="H551" s="3">
        <v>76897</v>
      </c>
      <c r="I551" s="3">
        <v>43137</v>
      </c>
      <c r="J551" s="3">
        <v>28282</v>
      </c>
      <c r="K551" s="3">
        <v>1263</v>
      </c>
      <c r="L551" s="3">
        <v>194</v>
      </c>
      <c r="M551" s="3">
        <v>198</v>
      </c>
      <c r="N551" s="3">
        <v>235</v>
      </c>
      <c r="O551" s="3">
        <v>253</v>
      </c>
      <c r="P551" s="3">
        <v>25180</v>
      </c>
      <c r="Q551" s="3">
        <v>1890</v>
      </c>
      <c r="R551" s="4">
        <v>6.68</v>
      </c>
      <c r="S551" s="6">
        <f>GlowNestSocialTable[[#This Row],[Link Clicks]]/GlowNestSocialTable[[#This Row],[Reach]]</f>
        <v>8.9456191217028493E-3</v>
      </c>
    </row>
    <row r="552" spans="1:19">
      <c r="A552" t="s">
        <v>591</v>
      </c>
      <c r="B552" s="2">
        <v>45992</v>
      </c>
      <c r="C552" t="s">
        <v>19</v>
      </c>
      <c r="D552" t="s">
        <v>20</v>
      </c>
      <c r="E552" t="s">
        <v>25</v>
      </c>
      <c r="F552" t="s">
        <v>28</v>
      </c>
      <c r="G552" t="s">
        <v>23</v>
      </c>
      <c r="H552" s="3">
        <v>75260</v>
      </c>
      <c r="I552" s="3">
        <v>62905</v>
      </c>
      <c r="J552" s="3">
        <v>41712</v>
      </c>
      <c r="K552" s="3">
        <v>1313</v>
      </c>
      <c r="L552" s="3">
        <v>247</v>
      </c>
      <c r="M552" s="3">
        <v>230</v>
      </c>
      <c r="N552" s="3">
        <v>179</v>
      </c>
      <c r="O552" s="3">
        <v>378</v>
      </c>
      <c r="P552" s="3">
        <v>32491</v>
      </c>
      <c r="Q552" s="3">
        <v>1969</v>
      </c>
      <c r="R552" s="4">
        <v>4.72</v>
      </c>
      <c r="S552" s="6">
        <f>GlowNestSocialTable[[#This Row],[Link Clicks]]/GlowNestSocialTable[[#This Row],[Reach]]</f>
        <v>9.0621403912543152E-3</v>
      </c>
    </row>
    <row r="553" spans="1:19">
      <c r="A553" t="s">
        <v>592</v>
      </c>
      <c r="B553" s="2">
        <v>45992</v>
      </c>
      <c r="C553" t="s">
        <v>33</v>
      </c>
      <c r="D553" t="s">
        <v>20</v>
      </c>
      <c r="E553" t="s">
        <v>21</v>
      </c>
      <c r="F553" t="s">
        <v>44</v>
      </c>
      <c r="G553" t="s">
        <v>23</v>
      </c>
      <c r="H553" s="3">
        <v>35510</v>
      </c>
      <c r="I553" s="3">
        <v>19821</v>
      </c>
      <c r="J553" s="3">
        <v>13037</v>
      </c>
      <c r="K553" s="3">
        <v>428</v>
      </c>
      <c r="L553" s="3">
        <v>76</v>
      </c>
      <c r="M553" s="3">
        <v>43</v>
      </c>
      <c r="N553" s="3">
        <v>76</v>
      </c>
      <c r="O553" s="3">
        <v>183</v>
      </c>
      <c r="P553" s="3">
        <v>9674</v>
      </c>
      <c r="Q553" s="3">
        <v>623</v>
      </c>
      <c r="R553" s="4">
        <v>4.78</v>
      </c>
      <c r="S553" s="6">
        <f>GlowNestSocialTable[[#This Row],[Link Clicks]]/GlowNestSocialTable[[#This Row],[Reach]]</f>
        <v>1.4036971695942318E-2</v>
      </c>
    </row>
    <row r="554" spans="1:19">
      <c r="A554" t="s">
        <v>593</v>
      </c>
      <c r="B554" s="2">
        <v>45993</v>
      </c>
      <c r="C554" t="s">
        <v>36</v>
      </c>
      <c r="D554" t="s">
        <v>34</v>
      </c>
      <c r="E554" t="s">
        <v>27</v>
      </c>
      <c r="F554" t="s">
        <v>44</v>
      </c>
      <c r="G554" t="s">
        <v>23</v>
      </c>
      <c r="H554" s="3">
        <v>93104</v>
      </c>
      <c r="I554" s="3">
        <v>50780</v>
      </c>
      <c r="J554" s="3">
        <v>33418</v>
      </c>
      <c r="K554" s="3">
        <v>590</v>
      </c>
      <c r="L554" s="3">
        <v>71</v>
      </c>
      <c r="M554" s="3">
        <v>60</v>
      </c>
      <c r="N554" s="3">
        <v>152</v>
      </c>
      <c r="O554" s="3">
        <v>246</v>
      </c>
      <c r="P554" s="3"/>
      <c r="Q554" s="3">
        <v>873</v>
      </c>
      <c r="R554" s="4">
        <v>2.61</v>
      </c>
      <c r="S554" s="6">
        <f>GlowNestSocialTable[[#This Row],[Link Clicks]]/GlowNestSocialTable[[#This Row],[Reach]]</f>
        <v>7.361302292177868E-3</v>
      </c>
    </row>
    <row r="555" spans="1:19">
      <c r="A555" t="s">
        <v>594</v>
      </c>
      <c r="B555" s="2">
        <v>45994</v>
      </c>
      <c r="C555" t="s">
        <v>36</v>
      </c>
      <c r="D555" t="s">
        <v>30</v>
      </c>
      <c r="E555" t="s">
        <v>46</v>
      </c>
      <c r="F555" t="s">
        <v>44</v>
      </c>
      <c r="G555" t="s">
        <v>23</v>
      </c>
      <c r="H555" s="3">
        <v>90520</v>
      </c>
      <c r="I555" s="3">
        <v>37734</v>
      </c>
      <c r="J555" s="3">
        <v>26582</v>
      </c>
      <c r="K555" s="3">
        <v>267</v>
      </c>
      <c r="L555" s="3">
        <v>35</v>
      </c>
      <c r="M555" s="3">
        <v>33</v>
      </c>
      <c r="N555" s="3">
        <v>69</v>
      </c>
      <c r="O555" s="3">
        <v>157</v>
      </c>
      <c r="P555" s="3"/>
      <c r="Q555" s="3">
        <v>404</v>
      </c>
      <c r="R555" s="4">
        <v>1.52</v>
      </c>
      <c r="S555" s="6">
        <f>GlowNestSocialTable[[#This Row],[Link Clicks]]/GlowNestSocialTable[[#This Row],[Reach]]</f>
        <v>5.9062523512151081E-3</v>
      </c>
    </row>
    <row r="556" spans="1:19">
      <c r="A556" t="s">
        <v>595</v>
      </c>
      <c r="B556" s="2">
        <v>45994</v>
      </c>
      <c r="C556" t="s">
        <v>36</v>
      </c>
      <c r="D556" t="s">
        <v>34</v>
      </c>
      <c r="E556" t="s">
        <v>25</v>
      </c>
      <c r="F556" t="s">
        <v>22</v>
      </c>
      <c r="G556" t="s">
        <v>23</v>
      </c>
      <c r="H556" s="3">
        <v>90027</v>
      </c>
      <c r="I556" s="3">
        <v>39421</v>
      </c>
      <c r="J556" s="3">
        <v>27905</v>
      </c>
      <c r="K556" s="3">
        <v>261</v>
      </c>
      <c r="L556" s="3">
        <v>27</v>
      </c>
      <c r="M556" s="3">
        <v>28</v>
      </c>
      <c r="N556" s="3">
        <v>20</v>
      </c>
      <c r="O556" s="3">
        <v>100</v>
      </c>
      <c r="P556" s="3"/>
      <c r="Q556" s="3">
        <v>336</v>
      </c>
      <c r="R556" s="4">
        <v>1.2</v>
      </c>
      <c r="S556" s="6">
        <f>GlowNestSocialTable[[#This Row],[Link Clicks]]/GlowNestSocialTable[[#This Row],[Reach]]</f>
        <v>3.5835871707579287E-3</v>
      </c>
    </row>
    <row r="557" spans="1:19">
      <c r="A557" t="s">
        <v>596</v>
      </c>
      <c r="B557" s="2">
        <v>45995</v>
      </c>
      <c r="C557" t="s">
        <v>33</v>
      </c>
      <c r="D557" t="s">
        <v>20</v>
      </c>
      <c r="E557" t="s">
        <v>21</v>
      </c>
      <c r="F557" t="s">
        <v>42</v>
      </c>
      <c r="G557" t="s">
        <v>23</v>
      </c>
      <c r="H557" s="3">
        <v>36404</v>
      </c>
      <c r="I557" s="3">
        <v>18663</v>
      </c>
      <c r="J557" s="3">
        <v>12324</v>
      </c>
      <c r="K557" s="3">
        <v>541</v>
      </c>
      <c r="L557" s="3">
        <v>93</v>
      </c>
      <c r="M557" s="3">
        <v>63</v>
      </c>
      <c r="N557" s="3">
        <v>134</v>
      </c>
      <c r="O557" s="3">
        <v>195</v>
      </c>
      <c r="P557" s="3">
        <v>10279</v>
      </c>
      <c r="Q557" s="3">
        <v>831</v>
      </c>
      <c r="R557" s="4">
        <v>6.74</v>
      </c>
      <c r="S557" s="6">
        <f>GlowNestSocialTable[[#This Row],[Link Clicks]]/GlowNestSocialTable[[#This Row],[Reach]]</f>
        <v>1.5822784810126583E-2</v>
      </c>
    </row>
    <row r="558" spans="1:19">
      <c r="A558" t="s">
        <v>597</v>
      </c>
      <c r="B558" s="2">
        <v>45995</v>
      </c>
      <c r="C558" t="s">
        <v>33</v>
      </c>
      <c r="D558" t="s">
        <v>37</v>
      </c>
      <c r="E558" t="s">
        <v>21</v>
      </c>
      <c r="F558" t="s">
        <v>28</v>
      </c>
      <c r="G558" t="s">
        <v>38</v>
      </c>
      <c r="H558" s="3">
        <v>36623</v>
      </c>
      <c r="I558" s="3">
        <v>22288</v>
      </c>
      <c r="J558" s="3">
        <v>15353</v>
      </c>
      <c r="K558" s="3">
        <v>381</v>
      </c>
      <c r="L558" s="3">
        <v>68</v>
      </c>
      <c r="M558" s="3">
        <v>46</v>
      </c>
      <c r="N558" s="3">
        <v>81</v>
      </c>
      <c r="O558" s="3">
        <v>236</v>
      </c>
      <c r="P558" s="3"/>
      <c r="Q558" s="3">
        <v>576</v>
      </c>
      <c r="R558" s="4">
        <v>3.75</v>
      </c>
      <c r="S558" s="6">
        <f>GlowNestSocialTable[[#This Row],[Link Clicks]]/GlowNestSocialTable[[#This Row],[Reach]]</f>
        <v>1.5371588614603009E-2</v>
      </c>
    </row>
    <row r="559" spans="1:19">
      <c r="A559" t="s">
        <v>598</v>
      </c>
      <c r="B559" s="2">
        <v>45996</v>
      </c>
      <c r="C559" t="s">
        <v>33</v>
      </c>
      <c r="D559" t="s">
        <v>30</v>
      </c>
      <c r="E559" t="s">
        <v>27</v>
      </c>
      <c r="F559" t="s">
        <v>22</v>
      </c>
      <c r="G559" t="s">
        <v>23</v>
      </c>
      <c r="H559" s="3">
        <v>36788</v>
      </c>
      <c r="I559" s="3">
        <v>16372</v>
      </c>
      <c r="J559" s="3">
        <v>11402</v>
      </c>
      <c r="K559" s="3">
        <v>368</v>
      </c>
      <c r="L559" s="3">
        <v>62</v>
      </c>
      <c r="M559" s="3">
        <v>44</v>
      </c>
      <c r="N559" s="3">
        <v>42</v>
      </c>
      <c r="O559" s="3">
        <v>179</v>
      </c>
      <c r="P559" s="3"/>
      <c r="Q559" s="3">
        <v>516</v>
      </c>
      <c r="R559" s="4">
        <v>4.53</v>
      </c>
      <c r="S559" s="6">
        <f>GlowNestSocialTable[[#This Row],[Link Clicks]]/GlowNestSocialTable[[#This Row],[Reach]]</f>
        <v>1.5699000175407825E-2</v>
      </c>
    </row>
    <row r="560" spans="1:19">
      <c r="A560" t="s">
        <v>599</v>
      </c>
      <c r="B560" s="2">
        <v>45997</v>
      </c>
      <c r="C560" t="s">
        <v>36</v>
      </c>
      <c r="D560" t="s">
        <v>37</v>
      </c>
      <c r="E560" t="s">
        <v>21</v>
      </c>
      <c r="F560" t="s">
        <v>44</v>
      </c>
      <c r="G560" t="s">
        <v>38</v>
      </c>
      <c r="H560" s="3">
        <v>91612</v>
      </c>
      <c r="I560" s="3">
        <v>65386</v>
      </c>
      <c r="J560" s="3">
        <v>55227</v>
      </c>
      <c r="K560" s="3">
        <v>936</v>
      </c>
      <c r="L560" s="3">
        <v>158</v>
      </c>
      <c r="M560" s="3">
        <v>129</v>
      </c>
      <c r="N560" s="3">
        <v>278</v>
      </c>
      <c r="O560" s="3">
        <v>202</v>
      </c>
      <c r="P560" s="3"/>
      <c r="Q560" s="3">
        <v>1501</v>
      </c>
      <c r="R560" s="4">
        <v>2.72</v>
      </c>
      <c r="S560" s="6">
        <f>GlowNestSocialTable[[#This Row],[Link Clicks]]/GlowNestSocialTable[[#This Row],[Reach]]</f>
        <v>3.6576312311007299E-3</v>
      </c>
    </row>
    <row r="561" spans="1:19">
      <c r="A561" t="s">
        <v>600</v>
      </c>
      <c r="B561" s="2">
        <v>45997</v>
      </c>
      <c r="C561" t="s">
        <v>33</v>
      </c>
      <c r="D561" t="s">
        <v>34</v>
      </c>
      <c r="E561" t="s">
        <v>27</v>
      </c>
      <c r="F561" t="s">
        <v>22</v>
      </c>
      <c r="G561" t="s">
        <v>23</v>
      </c>
      <c r="H561" s="3">
        <v>35143</v>
      </c>
      <c r="I561" s="3">
        <v>10179</v>
      </c>
      <c r="J561" s="3">
        <v>7217</v>
      </c>
      <c r="K561" s="3">
        <v>229</v>
      </c>
      <c r="L561" s="3">
        <v>24</v>
      </c>
      <c r="M561" s="3">
        <v>21</v>
      </c>
      <c r="N561" s="3">
        <v>33</v>
      </c>
      <c r="O561" s="3">
        <v>118</v>
      </c>
      <c r="P561" s="3"/>
      <c r="Q561" s="3">
        <v>307</v>
      </c>
      <c r="R561" s="4">
        <v>4.25</v>
      </c>
      <c r="S561" s="6">
        <f>GlowNestSocialTable[[#This Row],[Link Clicks]]/GlowNestSocialTable[[#This Row],[Reach]]</f>
        <v>1.6350284051544962E-2</v>
      </c>
    </row>
    <row r="562" spans="1:19">
      <c r="A562" t="s">
        <v>601</v>
      </c>
      <c r="B562" s="2">
        <v>45998</v>
      </c>
      <c r="C562" t="s">
        <v>19</v>
      </c>
      <c r="D562" t="s">
        <v>20</v>
      </c>
      <c r="E562" t="s">
        <v>27</v>
      </c>
      <c r="F562" t="s">
        <v>42</v>
      </c>
      <c r="G562" t="s">
        <v>23</v>
      </c>
      <c r="H562" s="3">
        <v>75090</v>
      </c>
      <c r="I562" s="3">
        <v>47774</v>
      </c>
      <c r="J562" s="3">
        <v>36665</v>
      </c>
      <c r="K562" s="3">
        <v>2652</v>
      </c>
      <c r="L562" s="3">
        <v>338</v>
      </c>
      <c r="M562" s="3">
        <v>442</v>
      </c>
      <c r="N562" s="3">
        <v>553</v>
      </c>
      <c r="O562" s="3">
        <v>547</v>
      </c>
      <c r="P562" s="3">
        <v>26918</v>
      </c>
      <c r="Q562" s="3">
        <v>3985</v>
      </c>
      <c r="R562" s="4">
        <v>10.87</v>
      </c>
      <c r="S562" s="6">
        <f>GlowNestSocialTable[[#This Row],[Link Clicks]]/GlowNestSocialTable[[#This Row],[Reach]]</f>
        <v>1.4918859948179463E-2</v>
      </c>
    </row>
    <row r="563" spans="1:19">
      <c r="A563" t="s">
        <v>602</v>
      </c>
      <c r="B563" s="2">
        <v>45998</v>
      </c>
      <c r="C563" t="s">
        <v>33</v>
      </c>
      <c r="D563" t="s">
        <v>37</v>
      </c>
      <c r="E563" t="s">
        <v>27</v>
      </c>
      <c r="F563" t="s">
        <v>31</v>
      </c>
      <c r="G563" t="s">
        <v>23</v>
      </c>
      <c r="H563" s="3">
        <v>37239</v>
      </c>
      <c r="I563" s="3">
        <v>13249</v>
      </c>
      <c r="J563" s="3">
        <v>9301</v>
      </c>
      <c r="K563" s="3">
        <v>343</v>
      </c>
      <c r="L563" s="3">
        <v>55</v>
      </c>
      <c r="M563" s="3">
        <v>39</v>
      </c>
      <c r="N563" s="3">
        <v>135</v>
      </c>
      <c r="O563" s="3">
        <v>153</v>
      </c>
      <c r="P563" s="3"/>
      <c r="Q563" s="3">
        <v>572</v>
      </c>
      <c r="R563" s="4">
        <v>6.15</v>
      </c>
      <c r="S563" s="6">
        <f>GlowNestSocialTable[[#This Row],[Link Clicks]]/GlowNestSocialTable[[#This Row],[Reach]]</f>
        <v>1.6449844102784647E-2</v>
      </c>
    </row>
    <row r="564" spans="1:19">
      <c r="A564" t="s">
        <v>603</v>
      </c>
      <c r="B564" s="2">
        <v>45999</v>
      </c>
      <c r="C564" t="s">
        <v>33</v>
      </c>
      <c r="D564" t="s">
        <v>34</v>
      </c>
      <c r="E564" t="s">
        <v>25</v>
      </c>
      <c r="F564" t="s">
        <v>44</v>
      </c>
      <c r="G564" t="s">
        <v>38</v>
      </c>
      <c r="H564" s="3">
        <v>36958</v>
      </c>
      <c r="I564" s="3">
        <v>12768</v>
      </c>
      <c r="J564" s="3">
        <v>11098</v>
      </c>
      <c r="K564" s="3">
        <v>169</v>
      </c>
      <c r="L564" s="3">
        <v>25</v>
      </c>
      <c r="M564" s="3">
        <v>21</v>
      </c>
      <c r="N564" s="3">
        <v>7</v>
      </c>
      <c r="O564" s="3">
        <v>97</v>
      </c>
      <c r="P564" s="3"/>
      <c r="Q564" s="3">
        <v>222</v>
      </c>
      <c r="R564" s="4">
        <v>2</v>
      </c>
      <c r="S564" s="6">
        <f>GlowNestSocialTable[[#This Row],[Link Clicks]]/GlowNestSocialTable[[#This Row],[Reach]]</f>
        <v>8.7403135700126148E-3</v>
      </c>
    </row>
    <row r="565" spans="1:19">
      <c r="A565" t="s">
        <v>604</v>
      </c>
      <c r="B565" s="2">
        <v>46000</v>
      </c>
      <c r="C565" t="s">
        <v>36</v>
      </c>
      <c r="D565" t="s">
        <v>37</v>
      </c>
      <c r="E565" t="s">
        <v>21</v>
      </c>
      <c r="F565" t="s">
        <v>22</v>
      </c>
      <c r="G565" t="s">
        <v>23</v>
      </c>
      <c r="H565" s="3">
        <v>92087</v>
      </c>
      <c r="I565" s="3">
        <v>65035</v>
      </c>
      <c r="J565" s="3">
        <v>48247</v>
      </c>
      <c r="K565" s="3">
        <v>755</v>
      </c>
      <c r="L565" s="3">
        <v>140</v>
      </c>
      <c r="M565" s="3">
        <v>67</v>
      </c>
      <c r="N565" s="3">
        <v>176</v>
      </c>
      <c r="O565" s="3">
        <v>195</v>
      </c>
      <c r="P565" s="3"/>
      <c r="Q565" s="3">
        <v>1138</v>
      </c>
      <c r="R565" s="4">
        <v>2.36</v>
      </c>
      <c r="S565" s="6">
        <f>GlowNestSocialTable[[#This Row],[Link Clicks]]/GlowNestSocialTable[[#This Row],[Reach]]</f>
        <v>4.0417020747403982E-3</v>
      </c>
    </row>
    <row r="566" spans="1:19">
      <c r="A566" t="s">
        <v>605</v>
      </c>
      <c r="B566" s="2">
        <v>46000</v>
      </c>
      <c r="C566" t="s">
        <v>19</v>
      </c>
      <c r="D566" t="s">
        <v>37</v>
      </c>
      <c r="E566" t="s">
        <v>46</v>
      </c>
      <c r="F566" t="s">
        <v>22</v>
      </c>
      <c r="G566" t="s">
        <v>23</v>
      </c>
      <c r="H566" s="3">
        <v>76616</v>
      </c>
      <c r="I566" s="3">
        <v>36772</v>
      </c>
      <c r="J566" s="3">
        <v>25889</v>
      </c>
      <c r="K566" s="3">
        <v>909</v>
      </c>
      <c r="L566" s="3">
        <v>149</v>
      </c>
      <c r="M566" s="3">
        <v>116</v>
      </c>
      <c r="N566" s="3">
        <v>232</v>
      </c>
      <c r="O566" s="3">
        <v>309</v>
      </c>
      <c r="P566" s="3"/>
      <c r="Q566" s="3">
        <v>1406</v>
      </c>
      <c r="R566" s="4">
        <v>5.43</v>
      </c>
      <c r="S566" s="6">
        <f>GlowNestSocialTable[[#This Row],[Link Clicks]]/GlowNestSocialTable[[#This Row],[Reach]]</f>
        <v>1.1935571091969563E-2</v>
      </c>
    </row>
    <row r="567" spans="1:19">
      <c r="A567" t="s">
        <v>606</v>
      </c>
      <c r="B567" s="2">
        <v>46001</v>
      </c>
      <c r="C567" t="s">
        <v>19</v>
      </c>
      <c r="D567" t="s">
        <v>37</v>
      </c>
      <c r="E567" t="s">
        <v>25</v>
      </c>
      <c r="F567" t="s">
        <v>28</v>
      </c>
      <c r="G567" t="s">
        <v>38</v>
      </c>
      <c r="H567" s="3">
        <v>76028</v>
      </c>
      <c r="I567" s="3">
        <v>62742</v>
      </c>
      <c r="J567" s="3">
        <v>48144</v>
      </c>
      <c r="K567" s="3">
        <v>1313</v>
      </c>
      <c r="L567" s="3">
        <v>191</v>
      </c>
      <c r="M567" s="3">
        <v>141</v>
      </c>
      <c r="N567" s="3">
        <v>215</v>
      </c>
      <c r="O567" s="3">
        <v>538</v>
      </c>
      <c r="P567" s="3"/>
      <c r="Q567" s="3">
        <v>1860</v>
      </c>
      <c r="R567" s="4">
        <v>3.86</v>
      </c>
      <c r="S567" s="6">
        <f>GlowNestSocialTable[[#This Row],[Link Clicks]]/GlowNestSocialTable[[#This Row],[Reach]]</f>
        <v>1.1174808906613492E-2</v>
      </c>
    </row>
    <row r="568" spans="1:19">
      <c r="A568" t="s">
        <v>607</v>
      </c>
      <c r="B568" s="2">
        <v>46001</v>
      </c>
      <c r="C568" t="s">
        <v>19</v>
      </c>
      <c r="D568" t="s">
        <v>20</v>
      </c>
      <c r="E568" t="s">
        <v>49</v>
      </c>
      <c r="F568" t="s">
        <v>22</v>
      </c>
      <c r="G568" t="s">
        <v>23</v>
      </c>
      <c r="H568" s="3">
        <v>76613</v>
      </c>
      <c r="I568" s="3">
        <v>42700</v>
      </c>
      <c r="J568" s="3">
        <v>39289</v>
      </c>
      <c r="K568" s="3">
        <v>2113</v>
      </c>
      <c r="L568" s="3">
        <v>291</v>
      </c>
      <c r="M568" s="3">
        <v>310</v>
      </c>
      <c r="N568" s="3">
        <v>368</v>
      </c>
      <c r="O568" s="3">
        <v>390</v>
      </c>
      <c r="P568" s="3">
        <v>26037</v>
      </c>
      <c r="Q568" s="3">
        <v>3082</v>
      </c>
      <c r="R568" s="4">
        <v>7.84</v>
      </c>
      <c r="S568" s="6">
        <f>GlowNestSocialTable[[#This Row],[Link Clicks]]/GlowNestSocialTable[[#This Row],[Reach]]</f>
        <v>9.9264425157168674E-3</v>
      </c>
    </row>
    <row r="569" spans="1:19">
      <c r="A569" t="s">
        <v>608</v>
      </c>
      <c r="B569" s="2">
        <v>46002</v>
      </c>
      <c r="C569" t="s">
        <v>33</v>
      </c>
      <c r="D569" t="s">
        <v>34</v>
      </c>
      <c r="E569" t="s">
        <v>49</v>
      </c>
      <c r="F569" t="s">
        <v>22</v>
      </c>
      <c r="G569" t="s">
        <v>23</v>
      </c>
      <c r="H569" s="3">
        <v>35904</v>
      </c>
      <c r="I569" s="3">
        <v>9093</v>
      </c>
      <c r="J569" s="3">
        <v>5893</v>
      </c>
      <c r="K569" s="3">
        <v>134</v>
      </c>
      <c r="L569" s="3">
        <v>23</v>
      </c>
      <c r="M569" s="3">
        <v>17</v>
      </c>
      <c r="N569" s="3">
        <v>5</v>
      </c>
      <c r="O569" s="3">
        <v>82</v>
      </c>
      <c r="P569" s="3"/>
      <c r="Q569" s="3">
        <v>179</v>
      </c>
      <c r="R569" s="4">
        <v>3.04</v>
      </c>
      <c r="S569" s="6">
        <f>GlowNestSocialTable[[#This Row],[Link Clicks]]/GlowNestSocialTable[[#This Row],[Reach]]</f>
        <v>1.3914814186322755E-2</v>
      </c>
    </row>
    <row r="570" spans="1:19">
      <c r="A570" t="s">
        <v>609</v>
      </c>
      <c r="B570" s="2">
        <v>46003</v>
      </c>
      <c r="C570" t="s">
        <v>33</v>
      </c>
      <c r="D570" t="s">
        <v>37</v>
      </c>
      <c r="E570" t="s">
        <v>25</v>
      </c>
      <c r="F570" t="s">
        <v>31</v>
      </c>
      <c r="G570" t="s">
        <v>23</v>
      </c>
      <c r="H570" s="3">
        <v>34473</v>
      </c>
      <c r="I570" s="3">
        <v>14202</v>
      </c>
      <c r="J570" s="3">
        <v>9479</v>
      </c>
      <c r="K570" s="3">
        <v>185</v>
      </c>
      <c r="L570" s="3">
        <v>28</v>
      </c>
      <c r="M570" s="3">
        <v>32</v>
      </c>
      <c r="N570" s="3">
        <v>35</v>
      </c>
      <c r="O570" s="3">
        <v>111</v>
      </c>
      <c r="P570" s="3"/>
      <c r="Q570" s="3">
        <v>280</v>
      </c>
      <c r="R570" s="4">
        <v>2.95</v>
      </c>
      <c r="S570" s="6">
        <f>GlowNestSocialTable[[#This Row],[Link Clicks]]/GlowNestSocialTable[[#This Row],[Reach]]</f>
        <v>1.1710096001687941E-2</v>
      </c>
    </row>
    <row r="571" spans="1:19">
      <c r="A571" t="s">
        <v>610</v>
      </c>
      <c r="B571" s="2">
        <v>46003</v>
      </c>
      <c r="C571" t="s">
        <v>36</v>
      </c>
      <c r="D571" t="s">
        <v>20</v>
      </c>
      <c r="E571" t="s">
        <v>25</v>
      </c>
      <c r="F571" t="s">
        <v>42</v>
      </c>
      <c r="G571" t="s">
        <v>23</v>
      </c>
      <c r="H571" s="3">
        <v>92940</v>
      </c>
      <c r="I571" s="3">
        <v>88857</v>
      </c>
      <c r="J571" s="3">
        <v>60026</v>
      </c>
      <c r="K571" s="3">
        <v>852</v>
      </c>
      <c r="L571" s="3">
        <v>153</v>
      </c>
      <c r="M571" s="3">
        <v>103</v>
      </c>
      <c r="N571" s="3">
        <v>88</v>
      </c>
      <c r="O571" s="3">
        <v>216</v>
      </c>
      <c r="P571" s="3">
        <v>49495</v>
      </c>
      <c r="Q571" s="3">
        <v>1196</v>
      </c>
      <c r="R571" s="4">
        <v>1.99</v>
      </c>
      <c r="S571" s="6">
        <f>GlowNestSocialTable[[#This Row],[Link Clicks]]/GlowNestSocialTable[[#This Row],[Reach]]</f>
        <v>3.5984406757071934E-3</v>
      </c>
    </row>
    <row r="572" spans="1:19">
      <c r="A572" t="s">
        <v>611</v>
      </c>
      <c r="B572" s="2">
        <v>46004</v>
      </c>
      <c r="C572" t="s">
        <v>19</v>
      </c>
      <c r="D572" t="s">
        <v>37</v>
      </c>
      <c r="E572" t="s">
        <v>27</v>
      </c>
      <c r="F572" t="s">
        <v>28</v>
      </c>
      <c r="G572" t="s">
        <v>23</v>
      </c>
      <c r="H572" s="3">
        <v>76874</v>
      </c>
      <c r="I572" s="3">
        <v>43313</v>
      </c>
      <c r="J572" s="3">
        <v>34113</v>
      </c>
      <c r="K572" s="3">
        <v>1890</v>
      </c>
      <c r="L572" s="3">
        <v>262</v>
      </c>
      <c r="M572" s="3">
        <v>267</v>
      </c>
      <c r="N572" s="3">
        <v>395</v>
      </c>
      <c r="O572" s="3">
        <v>424</v>
      </c>
      <c r="P572" s="3"/>
      <c r="Q572" s="3">
        <v>2814</v>
      </c>
      <c r="R572" s="4">
        <v>8.25</v>
      </c>
      <c r="S572" s="6">
        <f>GlowNestSocialTable[[#This Row],[Link Clicks]]/GlowNestSocialTable[[#This Row],[Reach]]</f>
        <v>1.242927916043737E-2</v>
      </c>
    </row>
    <row r="573" spans="1:19">
      <c r="A573" t="s">
        <v>612</v>
      </c>
      <c r="B573" s="2">
        <v>46004</v>
      </c>
      <c r="C573" t="s">
        <v>19</v>
      </c>
      <c r="D573" t="s">
        <v>20</v>
      </c>
      <c r="E573" t="s">
        <v>46</v>
      </c>
      <c r="F573" t="s">
        <v>22</v>
      </c>
      <c r="G573" t="s">
        <v>38</v>
      </c>
      <c r="H573" s="3">
        <v>75808</v>
      </c>
      <c r="I573" s="3">
        <v>56741</v>
      </c>
      <c r="J573" s="3">
        <v>39105</v>
      </c>
      <c r="K573" s="3">
        <v>1804</v>
      </c>
      <c r="L573" s="3">
        <v>280</v>
      </c>
      <c r="M573" s="3">
        <v>194</v>
      </c>
      <c r="N573" s="3">
        <v>322</v>
      </c>
      <c r="O573" s="3">
        <v>556</v>
      </c>
      <c r="P573" s="3">
        <v>25882</v>
      </c>
      <c r="Q573" s="3">
        <v>2600</v>
      </c>
      <c r="R573" s="4">
        <v>6.65</v>
      </c>
      <c r="S573" s="6">
        <f>GlowNestSocialTable[[#This Row],[Link Clicks]]/GlowNestSocialTable[[#This Row],[Reach]]</f>
        <v>1.4218130673826877E-2</v>
      </c>
    </row>
    <row r="574" spans="1:19">
      <c r="A574" t="s">
        <v>613</v>
      </c>
      <c r="B574" s="2">
        <v>46005</v>
      </c>
      <c r="C574" t="s">
        <v>36</v>
      </c>
      <c r="D574" t="s">
        <v>20</v>
      </c>
      <c r="E574" t="s">
        <v>21</v>
      </c>
      <c r="F574" t="s">
        <v>44</v>
      </c>
      <c r="G574" t="s">
        <v>23</v>
      </c>
      <c r="H574" s="3">
        <v>92256</v>
      </c>
      <c r="I574" s="3">
        <v>58432</v>
      </c>
      <c r="J574" s="3">
        <v>52208</v>
      </c>
      <c r="K574" s="3">
        <v>1361</v>
      </c>
      <c r="L574" s="3">
        <v>198</v>
      </c>
      <c r="M574" s="3">
        <v>128</v>
      </c>
      <c r="N574" s="3">
        <v>256</v>
      </c>
      <c r="O574" s="3">
        <v>270</v>
      </c>
      <c r="P574" s="3">
        <v>45762</v>
      </c>
      <c r="Q574" s="3">
        <v>1943</v>
      </c>
      <c r="R574" s="4">
        <v>7.44</v>
      </c>
      <c r="S574" s="6">
        <f>GlowNestSocialTable[[#This Row],[Link Clicks]]/GlowNestSocialTable[[#This Row],[Reach]]</f>
        <v>5.171621207477781E-3</v>
      </c>
    </row>
    <row r="575" spans="1:19">
      <c r="A575" t="s">
        <v>614</v>
      </c>
      <c r="B575" s="2">
        <v>46006</v>
      </c>
      <c r="C575" t="s">
        <v>19</v>
      </c>
      <c r="D575" t="s">
        <v>30</v>
      </c>
      <c r="E575" t="s">
        <v>49</v>
      </c>
      <c r="F575" t="s">
        <v>42</v>
      </c>
      <c r="G575" t="s">
        <v>23</v>
      </c>
      <c r="H575" s="3">
        <v>76374</v>
      </c>
      <c r="I575" s="3">
        <v>34307</v>
      </c>
      <c r="J575" s="3">
        <v>27406</v>
      </c>
      <c r="K575" s="3">
        <v>959</v>
      </c>
      <c r="L575" s="3">
        <v>143</v>
      </c>
      <c r="M575" s="3">
        <v>110</v>
      </c>
      <c r="N575" s="3">
        <v>162</v>
      </c>
      <c r="O575" s="3">
        <v>251</v>
      </c>
      <c r="P575" s="3"/>
      <c r="Q575" s="3">
        <v>1374</v>
      </c>
      <c r="R575" s="4">
        <v>5.01</v>
      </c>
      <c r="S575" s="6">
        <f>GlowNestSocialTable[[#This Row],[Link Clicks]]/GlowNestSocialTable[[#This Row],[Reach]]</f>
        <v>9.1585784134860983E-3</v>
      </c>
    </row>
    <row r="576" spans="1:19">
      <c r="A576" t="s">
        <v>615</v>
      </c>
      <c r="B576" s="2">
        <v>46006</v>
      </c>
      <c r="C576" t="s">
        <v>33</v>
      </c>
      <c r="D576" t="s">
        <v>20</v>
      </c>
      <c r="E576" t="s">
        <v>27</v>
      </c>
      <c r="F576" t="s">
        <v>31</v>
      </c>
      <c r="G576" t="s">
        <v>38</v>
      </c>
      <c r="H576" s="3">
        <v>36660</v>
      </c>
      <c r="I576" s="3">
        <v>32221</v>
      </c>
      <c r="J576" s="3">
        <v>23800</v>
      </c>
      <c r="K576" s="3">
        <v>1053</v>
      </c>
      <c r="L576" s="3">
        <v>101</v>
      </c>
      <c r="M576" s="3">
        <v>86</v>
      </c>
      <c r="N576" s="3">
        <v>377</v>
      </c>
      <c r="O576" s="3">
        <v>472</v>
      </c>
      <c r="P576" s="3">
        <v>19659</v>
      </c>
      <c r="Q576" s="3">
        <v>1617</v>
      </c>
      <c r="R576" s="4">
        <v>6.79</v>
      </c>
      <c r="S576" s="6">
        <f>GlowNestSocialTable[[#This Row],[Link Clicks]]/GlowNestSocialTable[[#This Row],[Reach]]</f>
        <v>1.9831932773109243E-2</v>
      </c>
    </row>
    <row r="577" spans="1:19">
      <c r="A577" t="s">
        <v>616</v>
      </c>
      <c r="B577" s="2">
        <v>46007</v>
      </c>
      <c r="C577" t="s">
        <v>36</v>
      </c>
      <c r="D577" t="s">
        <v>37</v>
      </c>
      <c r="E577" t="s">
        <v>49</v>
      </c>
      <c r="F577" t="s">
        <v>28</v>
      </c>
      <c r="G577" t="s">
        <v>23</v>
      </c>
      <c r="H577" s="3">
        <v>88402</v>
      </c>
      <c r="I577" s="3">
        <v>43372</v>
      </c>
      <c r="J577" s="3">
        <v>37967</v>
      </c>
      <c r="K577" s="3">
        <v>804</v>
      </c>
      <c r="L577" s="3">
        <v>124</v>
      </c>
      <c r="M577" s="3">
        <v>122</v>
      </c>
      <c r="N577" s="3">
        <v>41</v>
      </c>
      <c r="O577" s="3">
        <v>187</v>
      </c>
      <c r="P577" s="3"/>
      <c r="Q577" s="3">
        <v>1091</v>
      </c>
      <c r="R577" s="4">
        <v>2.87</v>
      </c>
      <c r="S577" s="6">
        <f>GlowNestSocialTable[[#This Row],[Link Clicks]]/GlowNestSocialTable[[#This Row],[Reach]]</f>
        <v>4.9253298917480972E-3</v>
      </c>
    </row>
    <row r="578" spans="1:19">
      <c r="A578" t="s">
        <v>617</v>
      </c>
      <c r="B578" s="2">
        <v>46008</v>
      </c>
      <c r="C578" t="s">
        <v>19</v>
      </c>
      <c r="D578" t="s">
        <v>34</v>
      </c>
      <c r="E578" t="s">
        <v>27</v>
      </c>
      <c r="F578" t="s">
        <v>22</v>
      </c>
      <c r="G578" t="s">
        <v>38</v>
      </c>
      <c r="H578" s="3">
        <v>75886</v>
      </c>
      <c r="I578" s="3">
        <v>38658</v>
      </c>
      <c r="J578" s="3">
        <v>31642</v>
      </c>
      <c r="K578" s="3">
        <v>876</v>
      </c>
      <c r="L578" s="3">
        <v>136</v>
      </c>
      <c r="M578" s="3">
        <v>139</v>
      </c>
      <c r="N578" s="3">
        <v>46</v>
      </c>
      <c r="O578" s="3">
        <v>505</v>
      </c>
      <c r="P578" s="3"/>
      <c r="Q578" s="3">
        <v>1197</v>
      </c>
      <c r="R578" s="4">
        <v>3.78</v>
      </c>
      <c r="S578" s="6">
        <f>GlowNestSocialTable[[#This Row],[Link Clicks]]/GlowNestSocialTable[[#This Row],[Reach]]</f>
        <v>1.5959800265469944E-2</v>
      </c>
    </row>
    <row r="579" spans="1:19">
      <c r="A579" t="s">
        <v>618</v>
      </c>
      <c r="B579" s="2">
        <v>46008</v>
      </c>
      <c r="C579" t="s">
        <v>33</v>
      </c>
      <c r="D579" t="s">
        <v>20</v>
      </c>
      <c r="E579" t="s">
        <v>27</v>
      </c>
      <c r="F579" t="s">
        <v>42</v>
      </c>
      <c r="G579" t="s">
        <v>23</v>
      </c>
      <c r="H579" s="3">
        <v>36262</v>
      </c>
      <c r="I579" s="3">
        <v>17286</v>
      </c>
      <c r="J579" s="3">
        <v>11191</v>
      </c>
      <c r="K579" s="3">
        <v>415</v>
      </c>
      <c r="L579" s="3">
        <v>55</v>
      </c>
      <c r="M579" s="3">
        <v>69</v>
      </c>
      <c r="N579" s="3">
        <v>156</v>
      </c>
      <c r="O579" s="3">
        <v>195</v>
      </c>
      <c r="P579" s="3">
        <v>7171</v>
      </c>
      <c r="Q579" s="3">
        <v>695</v>
      </c>
      <c r="R579" s="4">
        <v>6.21</v>
      </c>
      <c r="S579" s="6">
        <f>GlowNestSocialTable[[#This Row],[Link Clicks]]/GlowNestSocialTable[[#This Row],[Reach]]</f>
        <v>1.7424716289875793E-2</v>
      </c>
    </row>
    <row r="580" spans="1:19">
      <c r="A580" t="s">
        <v>619</v>
      </c>
      <c r="B580" s="2">
        <v>46009</v>
      </c>
      <c r="C580" t="s">
        <v>36</v>
      </c>
      <c r="D580" t="s">
        <v>20</v>
      </c>
      <c r="E580" t="s">
        <v>27</v>
      </c>
      <c r="F580" t="s">
        <v>44</v>
      </c>
      <c r="G580" t="s">
        <v>23</v>
      </c>
      <c r="H580" s="3">
        <v>92061</v>
      </c>
      <c r="I580" s="3">
        <v>107876</v>
      </c>
      <c r="J580" s="3">
        <v>69752</v>
      </c>
      <c r="K580" s="3">
        <v>1595</v>
      </c>
      <c r="L580" s="3">
        <v>291</v>
      </c>
      <c r="M580" s="3">
        <v>169</v>
      </c>
      <c r="N580" s="3">
        <v>890</v>
      </c>
      <c r="O580" s="3">
        <v>324</v>
      </c>
      <c r="P580" s="3">
        <v>40514</v>
      </c>
      <c r="Q580" s="3">
        <v>2945</v>
      </c>
      <c r="R580" s="4">
        <v>4.22</v>
      </c>
      <c r="S580" s="6">
        <f>GlowNestSocialTable[[#This Row],[Link Clicks]]/GlowNestSocialTable[[#This Row],[Reach]]</f>
        <v>4.645028099552701E-3</v>
      </c>
    </row>
    <row r="581" spans="1:19">
      <c r="A581" t="s">
        <v>620</v>
      </c>
      <c r="B581" s="2">
        <v>46009</v>
      </c>
      <c r="C581" t="s">
        <v>33</v>
      </c>
      <c r="D581" t="s">
        <v>30</v>
      </c>
      <c r="E581" t="s">
        <v>27</v>
      </c>
      <c r="F581" t="s">
        <v>28</v>
      </c>
      <c r="G581" t="s">
        <v>23</v>
      </c>
      <c r="H581" s="3">
        <v>34538</v>
      </c>
      <c r="I581" s="3">
        <v>11935</v>
      </c>
      <c r="J581" s="3">
        <v>7802</v>
      </c>
      <c r="K581" s="3">
        <v>213</v>
      </c>
      <c r="L581" s="3">
        <v>27</v>
      </c>
      <c r="M581" s="3">
        <v>31</v>
      </c>
      <c r="N581" s="3">
        <v>54</v>
      </c>
      <c r="O581" s="3">
        <v>113</v>
      </c>
      <c r="P581" s="3"/>
      <c r="Q581" s="3">
        <v>325</v>
      </c>
      <c r="R581" s="4">
        <v>4.17</v>
      </c>
      <c r="S581" s="6">
        <f>GlowNestSocialTable[[#This Row],[Link Clicks]]/GlowNestSocialTable[[#This Row],[Reach]]</f>
        <v>1.448346577800564E-2</v>
      </c>
    </row>
    <row r="582" spans="1:19">
      <c r="A582" t="s">
        <v>621</v>
      </c>
      <c r="B582" s="2">
        <v>46010</v>
      </c>
      <c r="C582" t="s">
        <v>19</v>
      </c>
      <c r="D582" t="s">
        <v>37</v>
      </c>
      <c r="E582" t="s">
        <v>27</v>
      </c>
      <c r="F582" t="s">
        <v>22</v>
      </c>
      <c r="G582" t="s">
        <v>38</v>
      </c>
      <c r="H582" s="3">
        <v>76198</v>
      </c>
      <c r="I582" s="3">
        <v>75159</v>
      </c>
      <c r="J582" s="3">
        <v>53540</v>
      </c>
      <c r="K582" s="3">
        <v>3087</v>
      </c>
      <c r="L582" s="3">
        <v>354</v>
      </c>
      <c r="M582" s="3">
        <v>347</v>
      </c>
      <c r="N582" s="3">
        <v>612</v>
      </c>
      <c r="O582" s="3">
        <v>629</v>
      </c>
      <c r="P582" s="3"/>
      <c r="Q582" s="3">
        <v>4400</v>
      </c>
      <c r="R582" s="4">
        <v>8.2200000000000006</v>
      </c>
      <c r="S582" s="6">
        <f>GlowNestSocialTable[[#This Row],[Link Clicks]]/GlowNestSocialTable[[#This Row],[Reach]]</f>
        <v>1.1748225625700411E-2</v>
      </c>
    </row>
    <row r="583" spans="1:19">
      <c r="A583" t="s">
        <v>622</v>
      </c>
      <c r="B583" s="2">
        <v>46011</v>
      </c>
      <c r="C583" t="s">
        <v>19</v>
      </c>
      <c r="D583" t="s">
        <v>20</v>
      </c>
      <c r="E583" t="s">
        <v>27</v>
      </c>
      <c r="F583" t="s">
        <v>28</v>
      </c>
      <c r="G583" t="s">
        <v>38</v>
      </c>
      <c r="H583" s="3">
        <v>76113</v>
      </c>
      <c r="I583" s="3">
        <v>81415</v>
      </c>
      <c r="J583" s="3">
        <v>62694</v>
      </c>
      <c r="K583" s="3">
        <v>3285</v>
      </c>
      <c r="L583" s="3">
        <v>617</v>
      </c>
      <c r="M583" s="3">
        <v>484</v>
      </c>
      <c r="N583" s="3">
        <v>1522</v>
      </c>
      <c r="O583" s="3">
        <v>1029</v>
      </c>
      <c r="P583" s="3">
        <v>54902</v>
      </c>
      <c r="Q583" s="3">
        <v>5908</v>
      </c>
      <c r="R583" s="4">
        <v>9.42</v>
      </c>
      <c r="S583" s="6">
        <f>GlowNestSocialTable[[#This Row],[Link Clicks]]/GlowNestSocialTable[[#This Row],[Reach]]</f>
        <v>1.641305388075414E-2</v>
      </c>
    </row>
    <row r="584" spans="1:19">
      <c r="A584" t="s">
        <v>623</v>
      </c>
      <c r="B584" s="2">
        <v>46011</v>
      </c>
      <c r="C584" t="s">
        <v>36</v>
      </c>
      <c r="D584" t="s">
        <v>30</v>
      </c>
      <c r="E584" t="s">
        <v>21</v>
      </c>
      <c r="F584" t="s">
        <v>44</v>
      </c>
      <c r="G584" t="s">
        <v>23</v>
      </c>
      <c r="H584" s="3">
        <v>91045</v>
      </c>
      <c r="I584" s="3">
        <v>48821</v>
      </c>
      <c r="J584" s="3">
        <v>32986</v>
      </c>
      <c r="K584" s="3">
        <v>371</v>
      </c>
      <c r="L584" s="3">
        <v>66</v>
      </c>
      <c r="M584" s="3">
        <v>35</v>
      </c>
      <c r="N584" s="3">
        <v>57</v>
      </c>
      <c r="O584" s="3">
        <v>165</v>
      </c>
      <c r="P584" s="3"/>
      <c r="Q584" s="3">
        <v>529</v>
      </c>
      <c r="R584" s="4">
        <v>1.6</v>
      </c>
      <c r="S584" s="6">
        <f>GlowNestSocialTable[[#This Row],[Link Clicks]]/GlowNestSocialTable[[#This Row],[Reach]]</f>
        <v>5.0021221124113262E-3</v>
      </c>
    </row>
    <row r="585" spans="1:19">
      <c r="A585" t="s">
        <v>624</v>
      </c>
      <c r="B585" s="2">
        <v>46012</v>
      </c>
      <c r="C585" t="s">
        <v>33</v>
      </c>
      <c r="D585" t="s">
        <v>37</v>
      </c>
      <c r="E585" t="s">
        <v>46</v>
      </c>
      <c r="F585" t="s">
        <v>28</v>
      </c>
      <c r="G585" t="s">
        <v>38</v>
      </c>
      <c r="H585" s="3">
        <v>35542</v>
      </c>
      <c r="I585" s="3">
        <v>14541</v>
      </c>
      <c r="J585" s="3">
        <v>11399</v>
      </c>
      <c r="K585" s="3">
        <v>373</v>
      </c>
      <c r="L585" s="3">
        <v>60</v>
      </c>
      <c r="M585" s="3">
        <v>46</v>
      </c>
      <c r="N585" s="3">
        <v>16</v>
      </c>
      <c r="O585" s="3">
        <v>194</v>
      </c>
      <c r="P585" s="3"/>
      <c r="Q585" s="3">
        <v>495</v>
      </c>
      <c r="R585" s="4">
        <v>4.34</v>
      </c>
      <c r="S585" s="6">
        <f>GlowNestSocialTable[[#This Row],[Link Clicks]]/GlowNestSocialTable[[#This Row],[Reach]]</f>
        <v>1.7019036757610316E-2</v>
      </c>
    </row>
    <row r="586" spans="1:19">
      <c r="A586" t="s">
        <v>625</v>
      </c>
      <c r="B586" s="2">
        <v>46012</v>
      </c>
      <c r="C586" t="s">
        <v>19</v>
      </c>
      <c r="D586" t="s">
        <v>20</v>
      </c>
      <c r="E586" t="s">
        <v>27</v>
      </c>
      <c r="F586" t="s">
        <v>28</v>
      </c>
      <c r="G586" t="s">
        <v>38</v>
      </c>
      <c r="H586" s="3">
        <v>75598</v>
      </c>
      <c r="I586" s="3">
        <v>88407</v>
      </c>
      <c r="J586" s="3">
        <v>65417</v>
      </c>
      <c r="K586" s="3">
        <v>3902</v>
      </c>
      <c r="L586" s="3">
        <v>558</v>
      </c>
      <c r="M586" s="3">
        <v>532</v>
      </c>
      <c r="N586" s="3">
        <v>362</v>
      </c>
      <c r="O586" s="3">
        <v>1078</v>
      </c>
      <c r="P586" s="3">
        <v>42367</v>
      </c>
      <c r="Q586" s="3">
        <v>5354</v>
      </c>
      <c r="R586" s="4">
        <v>8.18</v>
      </c>
      <c r="S586" s="6">
        <f>GlowNestSocialTable[[#This Row],[Link Clicks]]/GlowNestSocialTable[[#This Row],[Reach]]</f>
        <v>1.6478896922818228E-2</v>
      </c>
    </row>
    <row r="587" spans="1:19">
      <c r="A587" t="s">
        <v>626</v>
      </c>
      <c r="B587" s="2">
        <v>46013</v>
      </c>
      <c r="C587" t="s">
        <v>33</v>
      </c>
      <c r="D587" t="s">
        <v>34</v>
      </c>
      <c r="E587" t="s">
        <v>25</v>
      </c>
      <c r="F587" t="s">
        <v>44</v>
      </c>
      <c r="G587" t="s">
        <v>23</v>
      </c>
      <c r="H587" s="3">
        <v>36253</v>
      </c>
      <c r="I587" s="3">
        <v>9687</v>
      </c>
      <c r="J587" s="3">
        <v>8434</v>
      </c>
      <c r="K587" s="3">
        <v>116</v>
      </c>
      <c r="L587" s="3">
        <v>17</v>
      </c>
      <c r="M587" s="3">
        <v>20</v>
      </c>
      <c r="N587" s="3">
        <v>12</v>
      </c>
      <c r="O587" s="3">
        <v>84</v>
      </c>
      <c r="P587" s="3"/>
      <c r="Q587" s="3">
        <v>165</v>
      </c>
      <c r="R587" s="4">
        <v>1.96</v>
      </c>
      <c r="S587" s="6">
        <f>GlowNestSocialTable[[#This Row],[Link Clicks]]/GlowNestSocialTable[[#This Row],[Reach]]</f>
        <v>9.9596869812663032E-3</v>
      </c>
    </row>
    <row r="588" spans="1:19">
      <c r="A588" t="s">
        <v>627</v>
      </c>
      <c r="B588" s="2">
        <v>46014</v>
      </c>
      <c r="C588" t="s">
        <v>33</v>
      </c>
      <c r="D588" t="s">
        <v>37</v>
      </c>
      <c r="E588" t="s">
        <v>27</v>
      </c>
      <c r="F588" t="s">
        <v>31</v>
      </c>
      <c r="G588" t="s">
        <v>23</v>
      </c>
      <c r="H588" s="3">
        <v>37213</v>
      </c>
      <c r="I588" s="3">
        <v>11588</v>
      </c>
      <c r="J588" s="3">
        <v>9421</v>
      </c>
      <c r="K588" s="3">
        <v>292</v>
      </c>
      <c r="L588" s="3">
        <v>47</v>
      </c>
      <c r="M588" s="3">
        <v>33</v>
      </c>
      <c r="N588" s="3">
        <v>46</v>
      </c>
      <c r="O588" s="3">
        <v>136</v>
      </c>
      <c r="P588" s="3"/>
      <c r="Q588" s="3">
        <v>418</v>
      </c>
      <c r="R588" s="4">
        <v>4.4400000000000004</v>
      </c>
      <c r="S588" s="6">
        <f>GlowNestSocialTable[[#This Row],[Link Clicks]]/GlowNestSocialTable[[#This Row],[Reach]]</f>
        <v>1.4435834837066128E-2</v>
      </c>
    </row>
    <row r="589" spans="1:19">
      <c r="A589" t="s">
        <v>628</v>
      </c>
      <c r="B589" s="2">
        <v>46014</v>
      </c>
      <c r="C589" t="s">
        <v>36</v>
      </c>
      <c r="D589" t="s">
        <v>34</v>
      </c>
      <c r="E589" t="s">
        <v>27</v>
      </c>
      <c r="F589" t="s">
        <v>42</v>
      </c>
      <c r="G589" t="s">
        <v>23</v>
      </c>
      <c r="H589" s="3">
        <v>92082</v>
      </c>
      <c r="I589" s="3">
        <v>64769</v>
      </c>
      <c r="J589" s="3">
        <v>45087</v>
      </c>
      <c r="K589" s="3">
        <v>778</v>
      </c>
      <c r="L589" s="3">
        <v>121</v>
      </c>
      <c r="M589" s="3">
        <v>79</v>
      </c>
      <c r="N589" s="3">
        <v>161</v>
      </c>
      <c r="O589" s="3">
        <v>354</v>
      </c>
      <c r="P589" s="3"/>
      <c r="Q589" s="3">
        <v>1139</v>
      </c>
      <c r="R589" s="4">
        <v>2.5299999999999998</v>
      </c>
      <c r="S589" s="6">
        <f>GlowNestSocialTable[[#This Row],[Link Clicks]]/GlowNestSocialTable[[#This Row],[Reach]]</f>
        <v>7.8514871248918754E-3</v>
      </c>
    </row>
    <row r="590" spans="1:19">
      <c r="A590" t="s">
        <v>629</v>
      </c>
      <c r="B590" s="2">
        <v>46015</v>
      </c>
      <c r="C590" t="s">
        <v>33</v>
      </c>
      <c r="D590" t="s">
        <v>20</v>
      </c>
      <c r="E590" t="s">
        <v>46</v>
      </c>
      <c r="F590" t="s">
        <v>22</v>
      </c>
      <c r="G590" t="s">
        <v>23</v>
      </c>
      <c r="H590" s="3">
        <v>36128</v>
      </c>
      <c r="I590" s="3">
        <v>12498</v>
      </c>
      <c r="J590" s="3">
        <v>8596</v>
      </c>
      <c r="K590" s="3">
        <v>367</v>
      </c>
      <c r="L590" s="3">
        <v>35</v>
      </c>
      <c r="M590" s="3">
        <v>56</v>
      </c>
      <c r="N590" s="3">
        <v>73</v>
      </c>
      <c r="O590" s="3">
        <v>140</v>
      </c>
      <c r="P590" s="3">
        <v>6676</v>
      </c>
      <c r="Q590" s="3">
        <v>531</v>
      </c>
      <c r="R590" s="4">
        <v>6.18</v>
      </c>
      <c r="S590" s="6">
        <f>GlowNestSocialTable[[#This Row],[Link Clicks]]/GlowNestSocialTable[[#This Row],[Reach]]</f>
        <v>1.6286644951140065E-2</v>
      </c>
    </row>
    <row r="591" spans="1:19">
      <c r="A591" t="s">
        <v>630</v>
      </c>
      <c r="B591" s="2">
        <v>46015</v>
      </c>
      <c r="C591" t="s">
        <v>33</v>
      </c>
      <c r="D591" t="s">
        <v>37</v>
      </c>
      <c r="E591" t="s">
        <v>27</v>
      </c>
      <c r="F591" t="s">
        <v>28</v>
      </c>
      <c r="G591" t="s">
        <v>23</v>
      </c>
      <c r="H591" s="3">
        <v>35046</v>
      </c>
      <c r="I591" s="3">
        <v>12730</v>
      </c>
      <c r="J591" s="3">
        <v>10926</v>
      </c>
      <c r="K591" s="3">
        <v>493</v>
      </c>
      <c r="L591" s="3">
        <v>78</v>
      </c>
      <c r="M591" s="3">
        <v>73</v>
      </c>
      <c r="N591" s="3">
        <v>113</v>
      </c>
      <c r="O591" s="3">
        <v>181</v>
      </c>
      <c r="P591" s="3"/>
      <c r="Q591" s="3">
        <v>757</v>
      </c>
      <c r="R591" s="4">
        <v>6.93</v>
      </c>
      <c r="S591" s="6">
        <f>GlowNestSocialTable[[#This Row],[Link Clicks]]/GlowNestSocialTable[[#This Row],[Reach]]</f>
        <v>1.6565989383122825E-2</v>
      </c>
    </row>
    <row r="592" spans="1:19">
      <c r="A592" t="s">
        <v>631</v>
      </c>
      <c r="B592" s="2">
        <v>46016</v>
      </c>
      <c r="C592" t="s">
        <v>36</v>
      </c>
      <c r="D592" t="s">
        <v>20</v>
      </c>
      <c r="E592" t="s">
        <v>25</v>
      </c>
      <c r="F592" t="s">
        <v>28</v>
      </c>
      <c r="G592" t="s">
        <v>23</v>
      </c>
      <c r="H592" s="3">
        <v>90566</v>
      </c>
      <c r="I592" s="3">
        <v>44168</v>
      </c>
      <c r="J592" s="3">
        <v>39841</v>
      </c>
      <c r="K592" s="3">
        <v>589</v>
      </c>
      <c r="L592" s="3">
        <v>85</v>
      </c>
      <c r="M592" s="3">
        <v>92</v>
      </c>
      <c r="N592" s="3">
        <v>147</v>
      </c>
      <c r="O592" s="3">
        <v>155</v>
      </c>
      <c r="P592" s="3">
        <v>26388</v>
      </c>
      <c r="Q592" s="3">
        <v>913</v>
      </c>
      <c r="R592" s="4">
        <v>2.29</v>
      </c>
      <c r="S592" s="6">
        <f>GlowNestSocialTable[[#This Row],[Link Clicks]]/GlowNestSocialTable[[#This Row],[Reach]]</f>
        <v>3.8904645967721692E-3</v>
      </c>
    </row>
    <row r="593" spans="1:19">
      <c r="A593" t="s">
        <v>632</v>
      </c>
      <c r="B593" s="2">
        <v>46017</v>
      </c>
      <c r="C593" t="s">
        <v>19</v>
      </c>
      <c r="D593" t="s">
        <v>30</v>
      </c>
      <c r="E593" t="s">
        <v>21</v>
      </c>
      <c r="F593" t="s">
        <v>28</v>
      </c>
      <c r="G593" t="s">
        <v>38</v>
      </c>
      <c r="H593" s="3">
        <v>75701</v>
      </c>
      <c r="I593" s="3">
        <v>42033</v>
      </c>
      <c r="J593" s="3">
        <v>27391</v>
      </c>
      <c r="K593" s="3">
        <v>1012</v>
      </c>
      <c r="L593" s="3">
        <v>183</v>
      </c>
      <c r="M593" s="3">
        <v>108</v>
      </c>
      <c r="N593" s="3">
        <v>110</v>
      </c>
      <c r="O593" s="3">
        <v>274</v>
      </c>
      <c r="P593" s="3"/>
      <c r="Q593" s="3">
        <v>1413</v>
      </c>
      <c r="R593" s="4">
        <v>5.16</v>
      </c>
      <c r="S593" s="6">
        <f>GlowNestSocialTable[[#This Row],[Link Clicks]]/GlowNestSocialTable[[#This Row],[Reach]]</f>
        <v>1.0003285750794056E-2</v>
      </c>
    </row>
    <row r="594" spans="1:19">
      <c r="A594" t="s">
        <v>633</v>
      </c>
      <c r="B594" s="2">
        <v>46017</v>
      </c>
      <c r="C594" t="s">
        <v>19</v>
      </c>
      <c r="D594" t="s">
        <v>37</v>
      </c>
      <c r="E594" t="s">
        <v>49</v>
      </c>
      <c r="F594" t="s">
        <v>44</v>
      </c>
      <c r="G594" t="s">
        <v>23</v>
      </c>
      <c r="H594" s="3">
        <v>75645</v>
      </c>
      <c r="I594" s="3">
        <v>33475</v>
      </c>
      <c r="J594" s="3">
        <v>23370</v>
      </c>
      <c r="K594" s="3">
        <v>991</v>
      </c>
      <c r="L594" s="3">
        <v>137</v>
      </c>
      <c r="M594" s="3">
        <v>94</v>
      </c>
      <c r="N594" s="3">
        <v>109</v>
      </c>
      <c r="O594" s="3">
        <v>240</v>
      </c>
      <c r="P594" s="3"/>
      <c r="Q594" s="3">
        <v>1331</v>
      </c>
      <c r="R594" s="4">
        <v>5.7</v>
      </c>
      <c r="S594" s="6">
        <f>GlowNestSocialTable[[#This Row],[Link Clicks]]/GlowNestSocialTable[[#This Row],[Reach]]</f>
        <v>1.0269576379974325E-2</v>
      </c>
    </row>
    <row r="595" spans="1:19">
      <c r="A595" t="s">
        <v>634</v>
      </c>
      <c r="B595" s="2">
        <v>46018</v>
      </c>
      <c r="C595" t="s">
        <v>36</v>
      </c>
      <c r="D595" t="s">
        <v>30</v>
      </c>
      <c r="E595" t="s">
        <v>25</v>
      </c>
      <c r="F595" t="s">
        <v>22</v>
      </c>
      <c r="G595" t="s">
        <v>38</v>
      </c>
      <c r="H595" s="3">
        <v>92475</v>
      </c>
      <c r="I595" s="3">
        <v>77272</v>
      </c>
      <c r="J595" s="3">
        <v>53800</v>
      </c>
      <c r="K595" s="3">
        <v>474</v>
      </c>
      <c r="L595" s="3">
        <v>49</v>
      </c>
      <c r="M595" s="3">
        <v>42</v>
      </c>
      <c r="N595" s="3">
        <v>59</v>
      </c>
      <c r="O595" s="3">
        <v>194</v>
      </c>
      <c r="P595" s="3"/>
      <c r="Q595" s="3">
        <v>624</v>
      </c>
      <c r="R595" s="4">
        <v>1.1599999999999999</v>
      </c>
      <c r="S595" s="6">
        <f>GlowNestSocialTable[[#This Row],[Link Clicks]]/GlowNestSocialTable[[#This Row],[Reach]]</f>
        <v>3.6059479553903345E-3</v>
      </c>
    </row>
    <row r="596" spans="1:19">
      <c r="A596" t="s">
        <v>635</v>
      </c>
      <c r="B596" s="2">
        <v>46018</v>
      </c>
      <c r="C596" t="s">
        <v>19</v>
      </c>
      <c r="D596" t="s">
        <v>30</v>
      </c>
      <c r="E596" t="s">
        <v>27</v>
      </c>
      <c r="F596" t="s">
        <v>44</v>
      </c>
      <c r="G596" t="s">
        <v>23</v>
      </c>
      <c r="H596" s="3">
        <v>77074</v>
      </c>
      <c r="I596" s="3">
        <v>43420</v>
      </c>
      <c r="J596" s="3">
        <v>28159</v>
      </c>
      <c r="K596" s="3">
        <v>1053</v>
      </c>
      <c r="L596" s="3">
        <v>134</v>
      </c>
      <c r="M596" s="3">
        <v>127</v>
      </c>
      <c r="N596" s="3">
        <v>176</v>
      </c>
      <c r="O596" s="3">
        <v>377</v>
      </c>
      <c r="P596" s="3"/>
      <c r="Q596" s="3">
        <v>1490</v>
      </c>
      <c r="R596" s="4">
        <v>5.29</v>
      </c>
      <c r="S596" s="6">
        <f>GlowNestSocialTable[[#This Row],[Link Clicks]]/GlowNestSocialTable[[#This Row],[Reach]]</f>
        <v>1.3388259526261586E-2</v>
      </c>
    </row>
    <row r="597" spans="1:19">
      <c r="A597" t="s">
        <v>636</v>
      </c>
      <c r="B597" s="2">
        <v>46019</v>
      </c>
      <c r="C597" t="s">
        <v>33</v>
      </c>
      <c r="D597" t="s">
        <v>20</v>
      </c>
      <c r="E597" t="s">
        <v>27</v>
      </c>
      <c r="F597" t="s">
        <v>44</v>
      </c>
      <c r="G597" t="s">
        <v>23</v>
      </c>
      <c r="H597" s="3">
        <v>36194</v>
      </c>
      <c r="I597" s="3">
        <v>15530</v>
      </c>
      <c r="J597" s="3">
        <v>13313</v>
      </c>
      <c r="K597" s="3">
        <v>720</v>
      </c>
      <c r="L597" s="3">
        <v>114</v>
      </c>
      <c r="M597" s="3">
        <v>117</v>
      </c>
      <c r="N597" s="3">
        <v>178</v>
      </c>
      <c r="O597" s="3">
        <v>223</v>
      </c>
      <c r="P597" s="3">
        <v>11832</v>
      </c>
      <c r="Q597" s="3">
        <v>1129</v>
      </c>
      <c r="R597" s="4">
        <v>8.48</v>
      </c>
      <c r="S597" s="6">
        <f>GlowNestSocialTable[[#This Row],[Link Clicks]]/GlowNestSocialTable[[#This Row],[Reach]]</f>
        <v>1.6750544580485239E-2</v>
      </c>
    </row>
    <row r="598" spans="1:19">
      <c r="A598" t="s">
        <v>637</v>
      </c>
      <c r="B598" s="2">
        <v>46020</v>
      </c>
      <c r="C598" t="s">
        <v>33</v>
      </c>
      <c r="D598" t="s">
        <v>37</v>
      </c>
      <c r="E598" t="s">
        <v>25</v>
      </c>
      <c r="F598" t="s">
        <v>44</v>
      </c>
      <c r="G598" t="s">
        <v>23</v>
      </c>
      <c r="H598" s="3">
        <v>34529</v>
      </c>
      <c r="I598" s="3">
        <v>9390</v>
      </c>
      <c r="J598" s="3">
        <v>7703</v>
      </c>
      <c r="K598" s="3">
        <v>147</v>
      </c>
      <c r="L598" s="3">
        <v>22</v>
      </c>
      <c r="M598" s="3">
        <v>15</v>
      </c>
      <c r="N598" s="3">
        <v>16</v>
      </c>
      <c r="O598" s="3">
        <v>64</v>
      </c>
      <c r="P598" s="3"/>
      <c r="Q598" s="3">
        <v>200</v>
      </c>
      <c r="R598" s="4">
        <v>2.6</v>
      </c>
      <c r="S598" s="6">
        <f>GlowNestSocialTable[[#This Row],[Link Clicks]]/GlowNestSocialTable[[#This Row],[Reach]]</f>
        <v>8.3084512527586661E-3</v>
      </c>
    </row>
    <row r="599" spans="1:19">
      <c r="A599" t="s">
        <v>638</v>
      </c>
      <c r="B599" s="2">
        <v>46020</v>
      </c>
      <c r="C599" t="s">
        <v>36</v>
      </c>
      <c r="D599" t="s">
        <v>34</v>
      </c>
      <c r="E599" t="s">
        <v>46</v>
      </c>
      <c r="F599" t="s">
        <v>42</v>
      </c>
      <c r="G599" t="s">
        <v>23</v>
      </c>
      <c r="H599" s="3">
        <v>90276</v>
      </c>
      <c r="I599" s="3">
        <v>26934</v>
      </c>
      <c r="J599" s="3">
        <v>23833</v>
      </c>
      <c r="K599" s="3">
        <v>232</v>
      </c>
      <c r="L599" s="3">
        <v>37</v>
      </c>
      <c r="M599" s="3">
        <v>21</v>
      </c>
      <c r="N599" s="3">
        <v>33</v>
      </c>
      <c r="O599" s="3">
        <v>139</v>
      </c>
      <c r="P599" s="3"/>
      <c r="Q599" s="3">
        <v>323</v>
      </c>
      <c r="R599" s="4">
        <v>1.36</v>
      </c>
      <c r="S599" s="6">
        <f>GlowNestSocialTable[[#This Row],[Link Clicks]]/GlowNestSocialTable[[#This Row],[Reach]]</f>
        <v>5.8322494020895399E-3</v>
      </c>
    </row>
    <row r="600" spans="1:19">
      <c r="A600" t="s">
        <v>639</v>
      </c>
      <c r="B600" s="2">
        <v>46021</v>
      </c>
      <c r="C600" t="s">
        <v>19</v>
      </c>
      <c r="D600" t="s">
        <v>20</v>
      </c>
      <c r="E600" t="s">
        <v>27</v>
      </c>
      <c r="F600" t="s">
        <v>28</v>
      </c>
      <c r="G600" t="s">
        <v>38</v>
      </c>
      <c r="H600" s="3">
        <v>73276</v>
      </c>
      <c r="I600" s="3">
        <v>75476</v>
      </c>
      <c r="J600" s="3">
        <v>52727</v>
      </c>
      <c r="K600" s="3">
        <v>2611</v>
      </c>
      <c r="L600" s="3">
        <v>398</v>
      </c>
      <c r="M600" s="3">
        <v>267</v>
      </c>
      <c r="N600" s="3">
        <v>1567</v>
      </c>
      <c r="O600" s="3">
        <v>528</v>
      </c>
      <c r="P600" s="3">
        <v>37304</v>
      </c>
      <c r="Q600" s="3">
        <v>4843</v>
      </c>
      <c r="R600" s="4">
        <v>9.19</v>
      </c>
      <c r="S600" s="6">
        <f>GlowNestSocialTable[[#This Row],[Link Clicks]]/GlowNestSocialTable[[#This Row],[Reach]]</f>
        <v>1.0013844899197754E-2</v>
      </c>
    </row>
    <row r="601" spans="1:19">
      <c r="A601" t="s">
        <v>640</v>
      </c>
      <c r="B601" s="2">
        <v>46022</v>
      </c>
      <c r="C601" t="s">
        <v>19</v>
      </c>
      <c r="D601" t="s">
        <v>37</v>
      </c>
      <c r="E601" t="s">
        <v>46</v>
      </c>
      <c r="F601" t="s">
        <v>42</v>
      </c>
      <c r="G601" t="s">
        <v>23</v>
      </c>
      <c r="H601" s="3">
        <v>75645</v>
      </c>
      <c r="I601" s="3">
        <v>43025</v>
      </c>
      <c r="J601" s="3">
        <v>27778</v>
      </c>
      <c r="K601" s="3">
        <v>928</v>
      </c>
      <c r="L601" s="3">
        <v>140</v>
      </c>
      <c r="M601" s="3">
        <v>155</v>
      </c>
      <c r="N601" s="3">
        <v>248</v>
      </c>
      <c r="O601" s="3">
        <v>256</v>
      </c>
      <c r="P601" s="3"/>
      <c r="Q601" s="3">
        <v>1471</v>
      </c>
      <c r="R601" s="4">
        <v>5.3</v>
      </c>
      <c r="S601" s="6">
        <f>GlowNestSocialTable[[#This Row],[Link Clicks]]/GlowNestSocialTable[[#This Row],[Reach]]</f>
        <v>9.2159262725898198E-3</v>
      </c>
    </row>
  </sheetData>
  <phoneticPr fontId="3" type="noConversion"/>
  <conditionalFormatting sqref="A1:A1048576">
    <cfRule type="duplicateValues" dxfId="0" priority="1"/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CD95-FD85-4784-A424-2BC5C7A5353A}">
  <dimension ref="C3:C15"/>
  <sheetViews>
    <sheetView workbookViewId="0">
      <selection activeCell="C15" sqref="C15"/>
    </sheetView>
  </sheetViews>
  <sheetFormatPr defaultRowHeight="13.8"/>
  <cols>
    <col min="3" max="3" width="58.59765625" bestFit="1" customWidth="1"/>
  </cols>
  <sheetData>
    <row r="3" spans="3:3" ht="14.4">
      <c r="C3" s="8" t="s">
        <v>649</v>
      </c>
    </row>
    <row r="4" spans="3:3" ht="14.4">
      <c r="C4" s="7" t="s">
        <v>641</v>
      </c>
    </row>
    <row r="5" spans="3:3" ht="14.4">
      <c r="C5" s="7" t="s">
        <v>642</v>
      </c>
    </row>
    <row r="6" spans="3:3" ht="14.4">
      <c r="C6" s="7" t="s">
        <v>643</v>
      </c>
    </row>
    <row r="7" spans="3:3">
      <c r="C7" s="7"/>
    </row>
    <row r="8" spans="3:3" ht="14.4">
      <c r="C8" s="8" t="s">
        <v>650</v>
      </c>
    </row>
    <row r="9" spans="3:3" ht="14.4">
      <c r="C9" s="7" t="s">
        <v>644</v>
      </c>
    </row>
    <row r="10" spans="3:3" ht="14.4">
      <c r="C10" s="7" t="s">
        <v>645</v>
      </c>
    </row>
    <row r="11" spans="3:3" ht="14.4">
      <c r="C11" s="7" t="s">
        <v>646</v>
      </c>
    </row>
    <row r="12" spans="3:3" ht="14.4">
      <c r="C12" s="7" t="s">
        <v>647</v>
      </c>
    </row>
    <row r="13" spans="3:3">
      <c r="C13" s="7"/>
    </row>
    <row r="14" spans="3:3" ht="14.4">
      <c r="C14" s="8" t="s">
        <v>651</v>
      </c>
    </row>
    <row r="15" spans="3:3" ht="14.4">
      <c r="C15" s="7" t="s">
        <v>648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83E3-B35B-43AB-A2E8-2C2F51843B4C}">
  <dimension ref="A1:F141"/>
  <sheetViews>
    <sheetView tabSelected="1" workbookViewId="0">
      <selection activeCell="C13" sqref="C13"/>
    </sheetView>
  </sheetViews>
  <sheetFormatPr defaultRowHeight="13.8"/>
  <cols>
    <col min="1" max="1" width="18.3984375" bestFit="1" customWidth="1"/>
    <col min="2" max="2" width="19.8984375" bestFit="1" customWidth="1"/>
    <col min="3" max="3" width="38.296875" customWidth="1"/>
    <col min="4" max="4" width="29.19921875" bestFit="1" customWidth="1"/>
    <col min="5" max="5" width="17.296875" bestFit="1" customWidth="1"/>
    <col min="6" max="6" width="24.296875" bestFit="1" customWidth="1"/>
  </cols>
  <sheetData>
    <row r="1" spans="1:6">
      <c r="A1" s="12"/>
      <c r="B1" s="12"/>
      <c r="C1" s="12"/>
      <c r="D1" s="12"/>
      <c r="E1" s="12"/>
      <c r="F1" s="12"/>
    </row>
    <row r="3" spans="1:6">
      <c r="A3" s="9" t="s">
        <v>653</v>
      </c>
      <c r="B3" t="s">
        <v>660</v>
      </c>
      <c r="C3" t="s">
        <v>656</v>
      </c>
    </row>
    <row r="4" spans="1:6">
      <c r="A4" s="10" t="s">
        <v>36</v>
      </c>
      <c r="B4" s="3">
        <v>201434</v>
      </c>
      <c r="C4" s="4">
        <v>2.2860804020100502</v>
      </c>
    </row>
    <row r="5" spans="1:6">
      <c r="A5" s="10" t="s">
        <v>193</v>
      </c>
      <c r="B5" s="3">
        <v>448779</v>
      </c>
      <c r="C5" s="4">
        <v>5.7221484374999978</v>
      </c>
    </row>
    <row r="6" spans="1:6">
      <c r="A6" s="10" t="s">
        <v>33</v>
      </c>
      <c r="B6" s="3">
        <v>55162</v>
      </c>
      <c r="C6" s="4">
        <v>3.8622068965517249</v>
      </c>
    </row>
    <row r="7" spans="1:6">
      <c r="A7" s="10" t="s">
        <v>654</v>
      </c>
      <c r="B7" s="3">
        <v>705375</v>
      </c>
      <c r="C7" s="4">
        <v>4.1330333333333336</v>
      </c>
    </row>
    <row r="9" spans="1:6" ht="41.4">
      <c r="C9" s="5" t="s">
        <v>662</v>
      </c>
    </row>
    <row r="10" spans="1:6" ht="27.6">
      <c r="C10" s="5" t="s">
        <v>666</v>
      </c>
    </row>
    <row r="20" spans="1:3">
      <c r="A20" s="9" t="s">
        <v>653</v>
      </c>
      <c r="B20" t="s">
        <v>659</v>
      </c>
    </row>
    <row r="21" spans="1:3">
      <c r="A21" s="10" t="s">
        <v>36</v>
      </c>
      <c r="B21" s="3">
        <v>8563233</v>
      </c>
      <c r="C21" t="s">
        <v>661</v>
      </c>
    </row>
    <row r="22" spans="1:3">
      <c r="A22" s="10" t="s">
        <v>193</v>
      </c>
      <c r="B22" s="3">
        <v>7619291</v>
      </c>
    </row>
    <row r="23" spans="1:3">
      <c r="A23" s="10" t="s">
        <v>33</v>
      </c>
      <c r="B23" s="3">
        <v>1360278</v>
      </c>
    </row>
    <row r="24" spans="1:3">
      <c r="A24" s="10" t="s">
        <v>654</v>
      </c>
      <c r="B24" s="3">
        <v>17542802</v>
      </c>
    </row>
    <row r="41" spans="1:3">
      <c r="A41" s="9" t="s">
        <v>653</v>
      </c>
      <c r="B41" t="s">
        <v>657</v>
      </c>
      <c r="C41" t="s">
        <v>658</v>
      </c>
    </row>
    <row r="42" spans="1:3">
      <c r="A42" s="10" t="s">
        <v>36</v>
      </c>
      <c r="B42" s="3">
        <v>40171</v>
      </c>
      <c r="C42" s="11">
        <v>4.7273294791664476E-3</v>
      </c>
    </row>
    <row r="43" spans="1:3">
      <c r="A43" s="10" t="s">
        <v>193</v>
      </c>
      <c r="B43" s="3">
        <v>82671</v>
      </c>
      <c r="C43" s="11">
        <v>1.072027506652699E-2</v>
      </c>
    </row>
    <row r="44" spans="1:3">
      <c r="A44" s="10" t="s">
        <v>33</v>
      </c>
      <c r="B44" s="3">
        <v>18526</v>
      </c>
      <c r="C44" s="11">
        <v>1.3532494411389576E-2</v>
      </c>
    </row>
    <row r="45" spans="1:3">
      <c r="A45" s="10" t="s">
        <v>654</v>
      </c>
      <c r="B45" s="3">
        <v>141368</v>
      </c>
      <c r="C45" s="11">
        <v>9.4122344550608712E-3</v>
      </c>
    </row>
    <row r="48" spans="1:3" ht="27.6">
      <c r="C48" s="5" t="s">
        <v>667</v>
      </c>
    </row>
    <row r="57" spans="1:3" ht="27.6">
      <c r="A57" s="9" t="s">
        <v>653</v>
      </c>
      <c r="B57" t="s">
        <v>655</v>
      </c>
      <c r="C57" s="5" t="s">
        <v>663</v>
      </c>
    </row>
    <row r="58" spans="1:3">
      <c r="A58" s="10" t="s">
        <v>37</v>
      </c>
      <c r="B58" s="3">
        <v>188748</v>
      </c>
    </row>
    <row r="59" spans="1:3">
      <c r="A59" s="10" t="s">
        <v>20</v>
      </c>
      <c r="B59" s="3">
        <v>335571</v>
      </c>
    </row>
    <row r="60" spans="1:3">
      <c r="A60" s="10" t="s">
        <v>30</v>
      </c>
      <c r="B60" s="3">
        <v>124805</v>
      </c>
    </row>
    <row r="61" spans="1:3">
      <c r="A61" s="10" t="s">
        <v>34</v>
      </c>
      <c r="B61" s="3">
        <v>56251</v>
      </c>
    </row>
    <row r="62" spans="1:3">
      <c r="A62" s="10" t="s">
        <v>654</v>
      </c>
      <c r="B62" s="3">
        <v>705375</v>
      </c>
    </row>
    <row r="78" spans="1:3" ht="27.6">
      <c r="A78" s="9" t="s">
        <v>653</v>
      </c>
      <c r="B78" t="s">
        <v>664</v>
      </c>
      <c r="C78" s="5" t="s">
        <v>665</v>
      </c>
    </row>
    <row r="79" spans="1:3">
      <c r="A79" s="10" t="s">
        <v>37</v>
      </c>
      <c r="B79">
        <v>25471</v>
      </c>
    </row>
    <row r="80" spans="1:3">
      <c r="A80" s="10" t="s">
        <v>20</v>
      </c>
      <c r="B80">
        <v>52403</v>
      </c>
    </row>
    <row r="81" spans="1:2">
      <c r="A81" s="10" t="s">
        <v>30</v>
      </c>
      <c r="B81">
        <v>12929</v>
      </c>
    </row>
    <row r="82" spans="1:2">
      <c r="A82" s="10" t="s">
        <v>34</v>
      </c>
      <c r="B82">
        <v>4924</v>
      </c>
    </row>
    <row r="83" spans="1:2">
      <c r="A83" s="10" t="s">
        <v>654</v>
      </c>
      <c r="B83">
        <v>95727</v>
      </c>
    </row>
    <row r="94" spans="1:2">
      <c r="A94" s="9" t="s">
        <v>653</v>
      </c>
      <c r="B94" t="s">
        <v>664</v>
      </c>
    </row>
    <row r="95" spans="1:2">
      <c r="A95" s="10" t="s">
        <v>49</v>
      </c>
      <c r="B95">
        <v>13256</v>
      </c>
    </row>
    <row r="96" spans="1:2">
      <c r="A96" s="10" t="s">
        <v>21</v>
      </c>
      <c r="B96">
        <v>13782</v>
      </c>
    </row>
    <row r="97" spans="1:2">
      <c r="A97" s="10" t="s">
        <v>27</v>
      </c>
      <c r="B97">
        <v>45373</v>
      </c>
    </row>
    <row r="98" spans="1:2">
      <c r="A98" s="10" t="s">
        <v>25</v>
      </c>
      <c r="B98">
        <v>12044</v>
      </c>
    </row>
    <row r="99" spans="1:2">
      <c r="A99" s="10" t="s">
        <v>46</v>
      </c>
      <c r="B99">
        <v>11272</v>
      </c>
    </row>
    <row r="100" spans="1:2">
      <c r="A100" s="10" t="s">
        <v>654</v>
      </c>
      <c r="B100">
        <v>95727</v>
      </c>
    </row>
    <row r="115" spans="1:3">
      <c r="A115" s="9" t="s">
        <v>653</v>
      </c>
      <c r="B115" t="s">
        <v>655</v>
      </c>
      <c r="C115" t="s">
        <v>656</v>
      </c>
    </row>
    <row r="116" spans="1:3">
      <c r="A116" s="10" t="s">
        <v>49</v>
      </c>
      <c r="B116" s="3">
        <v>110079</v>
      </c>
      <c r="C116" s="4">
        <v>4.3283168316831695</v>
      </c>
    </row>
    <row r="117" spans="1:3">
      <c r="A117" s="10" t="s">
        <v>21</v>
      </c>
      <c r="B117" s="3">
        <v>99990</v>
      </c>
      <c r="C117" s="4">
        <v>4.2832911392405073</v>
      </c>
    </row>
    <row r="118" spans="1:3">
      <c r="A118" s="10" t="s">
        <v>27</v>
      </c>
      <c r="B118" s="3">
        <v>275681</v>
      </c>
      <c r="C118" s="4">
        <v>5.3862576687116563</v>
      </c>
    </row>
    <row r="119" spans="1:3">
      <c r="A119" s="10" t="s">
        <v>25</v>
      </c>
      <c r="B119" s="3">
        <v>130082</v>
      </c>
      <c r="C119" s="4">
        <v>2.7442405063291146</v>
      </c>
    </row>
    <row r="120" spans="1:3">
      <c r="A120" s="10" t="s">
        <v>46</v>
      </c>
      <c r="B120" s="3">
        <v>89543</v>
      </c>
      <c r="C120" s="4">
        <v>3.9669696969696964</v>
      </c>
    </row>
    <row r="121" spans="1:3">
      <c r="A121" s="10" t="s">
        <v>654</v>
      </c>
      <c r="B121" s="3">
        <v>705375</v>
      </c>
      <c r="C121" s="4">
        <v>4.1330333333333416</v>
      </c>
    </row>
    <row r="135" spans="1:2">
      <c r="A135" s="9" t="s">
        <v>653</v>
      </c>
      <c r="B135" t="s">
        <v>658</v>
      </c>
    </row>
    <row r="136" spans="1:2">
      <c r="A136" s="10" t="s">
        <v>49</v>
      </c>
      <c r="B136" s="11">
        <v>8.1695731504991612E-3</v>
      </c>
    </row>
    <row r="137" spans="1:2">
      <c r="A137" s="10" t="s">
        <v>21</v>
      </c>
      <c r="B137" s="11">
        <v>8.9013458166683282E-3</v>
      </c>
    </row>
    <row r="138" spans="1:2">
      <c r="A138" s="10" t="s">
        <v>27</v>
      </c>
      <c r="B138" s="11">
        <v>1.1486611716217954E-2</v>
      </c>
    </row>
    <row r="139" spans="1:2">
      <c r="A139" s="10" t="s">
        <v>25</v>
      </c>
      <c r="B139" s="11">
        <v>7.3632235795580408E-3</v>
      </c>
    </row>
    <row r="140" spans="1:2">
      <c r="A140" s="10" t="s">
        <v>46</v>
      </c>
      <c r="B140" s="11">
        <v>1.0942428585915254E-2</v>
      </c>
    </row>
    <row r="141" spans="1:2">
      <c r="A141" s="10" t="s">
        <v>654</v>
      </c>
      <c r="B141" s="11">
        <v>9.4122344550608521E-3</v>
      </c>
    </row>
  </sheetData>
  <pageMargins left="0.7" right="0.7" top="0.75" bottom="0.75" header="0.3" footer="0.3"/>
  <pageSetup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Cleaned Data</vt:lpstr>
      <vt:lpstr>Working Sheet</vt:lpstr>
      <vt:lpstr>Metrics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Raunak Singh</cp:lastModifiedBy>
  <dcterms:modified xsi:type="dcterms:W3CDTF">2026-08-18T08:06:28Z</dcterms:modified>
</cp:coreProperties>
</file>